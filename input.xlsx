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LDC Data for 2025-26\Coal Optimization\"/>
    </mc:Choice>
  </mc:AlternateContent>
  <xr:revisionPtr revIDLastSave="0" documentId="8_{BC2F178A-1AAF-4EE1-9CD6-ECAE0D64D6F1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Dashboard" sheetId="1" r:id="rId1"/>
    <sheet name="July 2026 (3)" sheetId="2" r:id="rId2"/>
    <sheet name="Calculation Sheet" sheetId="3" r:id="rId3"/>
  </sheets>
  <definedNames>
    <definedName name="_xlnm.Print_Area" localSheetId="0">Dashboard!$A$1:$R$42</definedName>
    <definedName name="solver_adj" localSheetId="1" hidden="1">'July 2026 (3)'!$F$7,'July 2026 (3)'!$F$8,'July 2026 (3)'!$F$10,'July 2026 (3)'!$F$11,'July 2026 (3)'!$F$12,'July 2026 (3)'!$F$13,'July 2026 (3)'!$F$15,'July 2026 (3)'!$F$16,'July 2026 (3)'!$F$17,'July 2026 (3)'!$F$19,'July 2026 (3)'!$F$20,'July 2026 (3)'!$F$21,'July 2026 (3)'!$F$22,'July 2026 (3)'!$F$24,'July 2026 (3)'!$F$25,'July 2026 (3)'!$F$26,'July 2026 (3)'!$F$27,'July 2026 (3)'!$F$28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1" hidden="1">'July 2026 (3)'!$F$10</definedName>
    <definedName name="solver_lhs10" localSheetId="1" hidden="1">'July 2026 (3)'!$F$15</definedName>
    <definedName name="solver_lhs11" localSheetId="1" hidden="1">'July 2026 (3)'!$F$16</definedName>
    <definedName name="solver_lhs12" localSheetId="1" hidden="1">'July 2026 (3)'!$F$16</definedName>
    <definedName name="solver_lhs13" localSheetId="1" hidden="1">'July 2026 (3)'!$F$18</definedName>
    <definedName name="solver_lhs14" localSheetId="1" hidden="1">'July 2026 (3)'!$F$18</definedName>
    <definedName name="solver_lhs15" localSheetId="1" hidden="1">'July 2026 (3)'!$F$19</definedName>
    <definedName name="solver_lhs16" localSheetId="1" hidden="1">'July 2026 (3)'!$F$19</definedName>
    <definedName name="solver_lhs17" localSheetId="1" hidden="1">'July 2026 (3)'!$F$23</definedName>
    <definedName name="solver_lhs18" localSheetId="1" hidden="1">'July 2026 (3)'!$F$23</definedName>
    <definedName name="solver_lhs19" localSheetId="1" hidden="1">'July 2026 (3)'!$F$25</definedName>
    <definedName name="solver_lhs2" localSheetId="1" hidden="1">'July 2026 (3)'!$F$10</definedName>
    <definedName name="solver_lhs20" localSheetId="1" hidden="1">'July 2026 (3)'!$F$25</definedName>
    <definedName name="solver_lhs21" localSheetId="1" hidden="1">'July 2026 (3)'!$F$26</definedName>
    <definedName name="solver_lhs22" localSheetId="1" hidden="1">'July 2026 (3)'!$F$26</definedName>
    <definedName name="solver_lhs23" localSheetId="1" hidden="1">'July 2026 (3)'!$F$29</definedName>
    <definedName name="solver_lhs24" localSheetId="1" hidden="1">'July 2026 (3)'!$F$29</definedName>
    <definedName name="solver_lhs25" localSheetId="1" hidden="1">'July 2026 (3)'!$F$30</definedName>
    <definedName name="solver_lhs26" localSheetId="1" hidden="1">'July 2026 (3)'!$F$31</definedName>
    <definedName name="solver_lhs27" localSheetId="1" hidden="1">'July 2026 (3)'!$F$32</definedName>
    <definedName name="solver_lhs28" localSheetId="1" hidden="1">'July 2026 (3)'!$F$33</definedName>
    <definedName name="solver_lhs29" localSheetId="1" hidden="1">'July 2026 (3)'!$F$34</definedName>
    <definedName name="solver_lhs3" localSheetId="1" hidden="1">'July 2026 (3)'!$F$11</definedName>
    <definedName name="solver_lhs30" localSheetId="1" hidden="1">'July 2026 (3)'!$F$35</definedName>
    <definedName name="solver_lhs31" localSheetId="1" hidden="1">'July 2026 (3)'!$F$7</definedName>
    <definedName name="solver_lhs32" localSheetId="1" hidden="1">'July 2026 (3)'!$F$7</definedName>
    <definedName name="solver_lhs33" localSheetId="1" hidden="1">'July 2026 (3)'!$F$8</definedName>
    <definedName name="solver_lhs34" localSheetId="1" hidden="1">'July 2026 (3)'!$F$8</definedName>
    <definedName name="solver_lhs35" localSheetId="1" hidden="1">'July 2026 (3)'!$F$9</definedName>
    <definedName name="solver_lhs36" localSheetId="1" hidden="1">'July 2026 (3)'!$F$9</definedName>
    <definedName name="solver_lhs37" localSheetId="1" hidden="1">'July 2026 (3)'!$G$14</definedName>
    <definedName name="solver_lhs38" localSheetId="1" hidden="1">'July 2026 (3)'!$G$18</definedName>
    <definedName name="solver_lhs39" localSheetId="1" hidden="1">'July 2026 (3)'!$G$23</definedName>
    <definedName name="solver_lhs4" localSheetId="1" hidden="1">'July 2026 (3)'!$F$11</definedName>
    <definedName name="solver_lhs40" localSheetId="1" hidden="1">'July 2026 (3)'!$G$29</definedName>
    <definedName name="solver_lhs41" localSheetId="1" hidden="1">'July 2026 (3)'!$G$9</definedName>
    <definedName name="solver_lhs42" localSheetId="1" hidden="1">'July 2026 (3)'!$G$9</definedName>
    <definedName name="solver_lhs5" localSheetId="1" hidden="1">'July 2026 (3)'!$F$13</definedName>
    <definedName name="solver_lhs6" localSheetId="1" hidden="1">'July 2026 (3)'!$F$13</definedName>
    <definedName name="solver_lhs7" localSheetId="1" hidden="1">'July 2026 (3)'!$F$14</definedName>
    <definedName name="solver_lhs8" localSheetId="1" hidden="1">'July 2026 (3)'!$F$14</definedName>
    <definedName name="solver_lhs9" localSheetId="1" hidden="1">'July 2026 (3)'!$F$15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41</definedName>
    <definedName name="solver_nwt" localSheetId="0" hidden="1">1</definedName>
    <definedName name="solver_nwt" localSheetId="1" hidden="1">1</definedName>
    <definedName name="solver_opt" localSheetId="0" hidden="1">Dashboard!$B$29</definedName>
    <definedName name="solver_opt" localSheetId="1" hidden="1">'July 2026 (3)'!$I$15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el1" localSheetId="1" hidden="1">1</definedName>
    <definedName name="solver_rel10" localSheetId="1" hidden="1">3</definedName>
    <definedName name="solver_rel11" localSheetId="1" hidden="1">1</definedName>
    <definedName name="solver_rel12" localSheetId="1" hidden="1">3</definedName>
    <definedName name="solver_rel13" localSheetId="1" hidden="1">1</definedName>
    <definedName name="solver_rel14" localSheetId="1" hidden="1">3</definedName>
    <definedName name="solver_rel15" localSheetId="1" hidden="1">1</definedName>
    <definedName name="solver_rel16" localSheetId="1" hidden="1">3</definedName>
    <definedName name="solver_rel17" localSheetId="1" hidden="1">1</definedName>
    <definedName name="solver_rel18" localSheetId="1" hidden="1">3</definedName>
    <definedName name="solver_rel19" localSheetId="1" hidden="1">1</definedName>
    <definedName name="solver_rel2" localSheetId="1" hidden="1">3</definedName>
    <definedName name="solver_rel20" localSheetId="1" hidden="1">3</definedName>
    <definedName name="solver_rel21" localSheetId="1" hidden="1">1</definedName>
    <definedName name="solver_rel22" localSheetId="1" hidden="1">3</definedName>
    <definedName name="solver_rel23" localSheetId="1" hidden="1">1</definedName>
    <definedName name="solver_rel24" localSheetId="1" hidden="1">3</definedName>
    <definedName name="solver_rel25" localSheetId="1" hidden="1">2</definedName>
    <definedName name="solver_rel26" localSheetId="1" hidden="1">2</definedName>
    <definedName name="solver_rel27" localSheetId="1" hidden="1">2</definedName>
    <definedName name="solver_rel28" localSheetId="1" hidden="1">2</definedName>
    <definedName name="solver_rel29" localSheetId="1" hidden="1">2</definedName>
    <definedName name="solver_rel3" localSheetId="1" hidden="1">1</definedName>
    <definedName name="solver_rel30" localSheetId="1" hidden="1">2</definedName>
    <definedName name="solver_rel31" localSheetId="1" hidden="1">1</definedName>
    <definedName name="solver_rel32" localSheetId="1" hidden="1">3</definedName>
    <definedName name="solver_rel33" localSheetId="1" hidden="1">1</definedName>
    <definedName name="solver_rel34" localSheetId="1" hidden="1">3</definedName>
    <definedName name="solver_rel35" localSheetId="1" hidden="1">1</definedName>
    <definedName name="solver_rel36" localSheetId="1" hidden="1">3</definedName>
    <definedName name="solver_rel37" localSheetId="1" hidden="1">1</definedName>
    <definedName name="solver_rel38" localSheetId="1" hidden="1">1</definedName>
    <definedName name="solver_rel39" localSheetId="1" hidden="1">1</definedName>
    <definedName name="solver_rel4" localSheetId="1" hidden="1">3</definedName>
    <definedName name="solver_rel40" localSheetId="1" hidden="1">1</definedName>
    <definedName name="solver_rel41" localSheetId="1" hidden="1">1</definedName>
    <definedName name="solver_rel42" localSheetId="1" hidden="1">1</definedName>
    <definedName name="solver_rel5" localSheetId="1" hidden="1">1</definedName>
    <definedName name="solver_rel6" localSheetId="1" hidden="1">3</definedName>
    <definedName name="solver_rel7" localSheetId="1" hidden="1">1</definedName>
    <definedName name="solver_rel8" localSheetId="1" hidden="1">3</definedName>
    <definedName name="solver_rel9" localSheetId="1" hidden="1">1</definedName>
    <definedName name="solver_rhs1" localSheetId="1" hidden="1">'July 2026 (3)'!$D$10*'July 2026 (3)'!$P$7</definedName>
    <definedName name="solver_rhs10" localSheetId="1" hidden="1">'July 2026 (3)'!$D$15*'July 2026 (3)'!$O$7</definedName>
    <definedName name="solver_rhs11" localSheetId="1" hidden="1">'July 2026 (3)'!$D$16*'July 2026 (3)'!$P$7</definedName>
    <definedName name="solver_rhs12" localSheetId="1" hidden="1">'July 2026 (3)'!$D$16*'July 2026 (3)'!$O$7</definedName>
    <definedName name="solver_rhs13" localSheetId="1" hidden="1">'July 2026 (3)'!$D$18*'July 2026 (3)'!$P$8</definedName>
    <definedName name="solver_rhs14" localSheetId="1" hidden="1">'July 2026 (3)'!$D$18*'July 2026 (3)'!$O$8</definedName>
    <definedName name="solver_rhs15" localSheetId="1" hidden="1">'July 2026 (3)'!$D$19*'July 2026 (3)'!$P$7</definedName>
    <definedName name="solver_rhs16" localSheetId="1" hidden="1">'July 2026 (3)'!$D$19*'July 2026 (3)'!$O$7</definedName>
    <definedName name="solver_rhs17" localSheetId="1" hidden="1">'July 2026 (3)'!$D$23*'July 2026 (3)'!$P$8</definedName>
    <definedName name="solver_rhs18" localSheetId="1" hidden="1">'July 2026 (3)'!$D$23*'July 2026 (3)'!$O$8</definedName>
    <definedName name="solver_rhs19" localSheetId="1" hidden="1">'July 2026 (3)'!$D$25*'July 2026 (3)'!$P$7</definedName>
    <definedName name="solver_rhs2" localSheetId="1" hidden="1">'July 2026 (3)'!$D$10*'July 2026 (3)'!$O$7</definedName>
    <definedName name="solver_rhs20" localSheetId="1" hidden="1">'July 2026 (3)'!$D$25*'July 2026 (3)'!$O$7</definedName>
    <definedName name="solver_rhs21" localSheetId="1" hidden="1">'July 2026 (3)'!$D$26*'July 2026 (3)'!$P$7</definedName>
    <definedName name="solver_rhs22" localSheetId="1" hidden="1">'July 2026 (3)'!$D$26*'July 2026 (3)'!$O$7</definedName>
    <definedName name="solver_rhs23" localSheetId="1" hidden="1">'July 2026 (3)'!$D$29*'July 2026 (3)'!$P$8</definedName>
    <definedName name="solver_rhs24" localSheetId="1" hidden="1">'July 2026 (3)'!$D$29*'July 2026 (3)'!$O$8</definedName>
    <definedName name="solver_rhs25" localSheetId="1" hidden="1">'July 2026 (3)'!$P$9</definedName>
    <definedName name="solver_rhs26" localSheetId="1" hidden="1">'July 2026 (3)'!$O$10</definedName>
    <definedName name="solver_rhs27" localSheetId="1" hidden="1">'July 2026 (3)'!$O$11</definedName>
    <definedName name="solver_rhs28" localSheetId="1" hidden="1">'July 2026 (3)'!$O$12</definedName>
    <definedName name="solver_rhs29" localSheetId="1" hidden="1">'July 2026 (3)'!$O$13</definedName>
    <definedName name="solver_rhs3" localSheetId="1" hidden="1">'July 2026 (3)'!$D$11*'July 2026 (3)'!$P$7</definedName>
    <definedName name="solver_rhs30" localSheetId="1" hidden="1">'July 2026 (3)'!$D$35</definedName>
    <definedName name="solver_rhs31" localSheetId="1" hidden="1">'July 2026 (3)'!$D$7*'July 2026 (3)'!$P$7</definedName>
    <definedName name="solver_rhs32" localSheetId="1" hidden="1">'July 2026 (3)'!$D$7*'July 2026 (3)'!$O$7</definedName>
    <definedName name="solver_rhs33" localSheetId="1" hidden="1">'July 2026 (3)'!$D$8*'July 2026 (3)'!$P$7</definedName>
    <definedName name="solver_rhs34" localSheetId="1" hidden="1">'July 2026 (3)'!$D$8*'July 2026 (3)'!$O$7</definedName>
    <definedName name="solver_rhs35" localSheetId="1" hidden="1">'July 2026 (3)'!$D$9*'July 2026 (3)'!$P$8</definedName>
    <definedName name="solver_rhs36" localSheetId="1" hidden="1">'July 2026 (3)'!$D$9*'July 2026 (3)'!$O$8</definedName>
    <definedName name="solver_rhs37" localSheetId="1" hidden="1">'July 2026 (3)'!$O$17</definedName>
    <definedName name="solver_rhs38" localSheetId="1" hidden="1">'July 2026 (3)'!$O$17</definedName>
    <definedName name="solver_rhs39" localSheetId="1" hidden="1">'July 2026 (3)'!$O$17</definedName>
    <definedName name="solver_rhs4" localSheetId="1" hidden="1">'July 2026 (3)'!$D$11*'July 2026 (3)'!$O$7</definedName>
    <definedName name="solver_rhs40" localSheetId="1" hidden="1">'July 2026 (3)'!$O$17</definedName>
    <definedName name="solver_rhs41" localSheetId="1" hidden="1">'July 2026 (3)'!$O$17</definedName>
    <definedName name="solver_rhs42" localSheetId="1" hidden="1">'July 2026 (3)'!$O$17</definedName>
    <definedName name="solver_rhs5" localSheetId="1" hidden="1">'July 2026 (3)'!$D$13*'July 2026 (3)'!$P$7</definedName>
    <definedName name="solver_rhs6" localSheetId="1" hidden="1">'July 2026 (3)'!$D$13*'July 2026 (3)'!$O$7</definedName>
    <definedName name="solver_rhs7" localSheetId="1" hidden="1">'July 2026 (3)'!$D$14*'July 2026 (3)'!$P$8</definedName>
    <definedName name="solver_rhs8" localSheetId="1" hidden="1">'July 2026 (3)'!$D$14*'July 2026 (3)'!$O$8</definedName>
    <definedName name="solver_rhs9" localSheetId="1" hidden="1">'July 2026 (3)'!$D$15*'July 2026 (3)'!$P$7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3.98</definedName>
    <definedName name="solver_ver" localSheetId="0" hidden="1">3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2" i="3" l="1"/>
  <c r="Q32" i="3"/>
  <c r="S31" i="3"/>
  <c r="Q31" i="3"/>
  <c r="S30" i="3"/>
  <c r="Q30" i="3"/>
  <c r="S29" i="3"/>
  <c r="Q29" i="3"/>
  <c r="S28" i="3"/>
  <c r="Q28" i="3"/>
  <c r="S26" i="3"/>
  <c r="Q26" i="3"/>
  <c r="P26" i="3"/>
  <c r="D26" i="3"/>
  <c r="H26" i="3" s="1"/>
  <c r="N25" i="3"/>
  <c r="N32" i="3" s="1"/>
  <c r="I25" i="3"/>
  <c r="M25" i="3" s="1"/>
  <c r="N24" i="3"/>
  <c r="I24" i="3"/>
  <c r="M24" i="3" s="1"/>
  <c r="N23" i="3"/>
  <c r="I23" i="3"/>
  <c r="M23" i="3" s="1"/>
  <c r="N22" i="3"/>
  <c r="I22" i="3"/>
  <c r="M22" i="3" s="1"/>
  <c r="I21" i="3"/>
  <c r="M21" i="3" s="1"/>
  <c r="S20" i="3"/>
  <c r="R20" i="3"/>
  <c r="Q20" i="3"/>
  <c r="O20" i="3"/>
  <c r="N20" i="3"/>
  <c r="D20" i="3"/>
  <c r="F20" i="3" s="1"/>
  <c r="N19" i="3"/>
  <c r="I19" i="3"/>
  <c r="M19" i="3" s="1"/>
  <c r="N18" i="3"/>
  <c r="H18" i="3"/>
  <c r="H20" i="3" s="1"/>
  <c r="N17" i="3"/>
  <c r="I17" i="3"/>
  <c r="M17" i="3" s="1"/>
  <c r="N16" i="3"/>
  <c r="I16" i="3"/>
  <c r="M16" i="3" s="1"/>
  <c r="S15" i="3"/>
  <c r="Q15" i="3"/>
  <c r="O15" i="3"/>
  <c r="D15" i="3"/>
  <c r="N15" i="3" s="1"/>
  <c r="N14" i="3"/>
  <c r="H14" i="3"/>
  <c r="I14" i="3" s="1"/>
  <c r="M14" i="3" s="1"/>
  <c r="N13" i="3"/>
  <c r="I13" i="3"/>
  <c r="M13" i="3" s="1"/>
  <c r="N12" i="3"/>
  <c r="N28" i="3" s="1"/>
  <c r="I12" i="3"/>
  <c r="M12" i="3" s="1"/>
  <c r="S11" i="3"/>
  <c r="Q11" i="3"/>
  <c r="F11" i="3"/>
  <c r="D11" i="3"/>
  <c r="N11" i="3" s="1"/>
  <c r="N10" i="3"/>
  <c r="I10" i="3"/>
  <c r="M10" i="3" s="1"/>
  <c r="N9" i="3"/>
  <c r="H9" i="3"/>
  <c r="I9" i="3" s="1"/>
  <c r="M9" i="3" s="1"/>
  <c r="N8" i="3"/>
  <c r="N31" i="3" s="1"/>
  <c r="H8" i="3"/>
  <c r="I8" i="3" s="1"/>
  <c r="M8" i="3" s="1"/>
  <c r="N7" i="3"/>
  <c r="I7" i="3"/>
  <c r="M7" i="3" s="1"/>
  <c r="S6" i="3"/>
  <c r="D6" i="3"/>
  <c r="H6" i="3" s="1"/>
  <c r="N5" i="3"/>
  <c r="I5" i="3"/>
  <c r="M5" i="3" s="1"/>
  <c r="N4" i="3"/>
  <c r="I4" i="3"/>
  <c r="M4" i="3" s="1"/>
  <c r="N30" i="3" l="1"/>
  <c r="R26" i="3"/>
  <c r="Q27" i="3"/>
  <c r="N29" i="3"/>
  <c r="S27" i="3"/>
  <c r="S33" i="3"/>
  <c r="N26" i="3"/>
  <c r="N6" i="3"/>
  <c r="H11" i="3"/>
  <c r="I11" i="3" s="1"/>
  <c r="M11" i="3" s="1"/>
  <c r="Q33" i="3"/>
  <c r="I20" i="3"/>
  <c r="M20" i="3" s="1"/>
  <c r="T15" i="3"/>
  <c r="P15" i="3"/>
  <c r="R15" i="3"/>
  <c r="T6" i="3"/>
  <c r="P6" i="3"/>
  <c r="R6" i="3"/>
  <c r="T26" i="3"/>
  <c r="R11" i="3"/>
  <c r="T11" i="3"/>
  <c r="P11" i="3"/>
  <c r="P20" i="3"/>
  <c r="F15" i="3"/>
  <c r="I18" i="3"/>
  <c r="M18" i="3" s="1"/>
  <c r="T20" i="3" s="1"/>
  <c r="H15" i="3"/>
  <c r="F6" i="3"/>
  <c r="I6" i="3" s="1"/>
  <c r="M6" i="3" s="1"/>
  <c r="F26" i="3"/>
  <c r="I26" i="3" s="1"/>
  <c r="M26" i="3" s="1"/>
  <c r="N33" i="3" l="1"/>
  <c r="I15" i="3"/>
  <c r="M15" i="3" s="1"/>
  <c r="F29" i="2" l="1"/>
  <c r="F23" i="2"/>
  <c r="O40" i="2" s="1"/>
  <c r="F18" i="2"/>
  <c r="F14" i="2"/>
  <c r="F9" i="2"/>
  <c r="O65" i="2"/>
  <c r="O64" i="2"/>
  <c r="O56" i="2"/>
  <c r="O55" i="2"/>
  <c r="O54" i="2"/>
  <c r="O53" i="2"/>
  <c r="O44" i="2"/>
  <c r="O43" i="2"/>
  <c r="O42" i="2"/>
  <c r="O41" i="2"/>
  <c r="O38" i="2"/>
  <c r="O37" i="2"/>
  <c r="F35" i="2"/>
  <c r="O52" i="2" s="1"/>
  <c r="D35" i="2"/>
  <c r="O34" i="2"/>
  <c r="F34" i="2"/>
  <c r="D34" i="2"/>
  <c r="G23" i="1" s="1"/>
  <c r="O33" i="2"/>
  <c r="F33" i="2"/>
  <c r="D33" i="2"/>
  <c r="O12" i="2" s="1"/>
  <c r="O32" i="2"/>
  <c r="F32" i="2"/>
  <c r="D32" i="2"/>
  <c r="O31" i="2"/>
  <c r="F31" i="2"/>
  <c r="D31" i="2"/>
  <c r="O10" i="2" s="1"/>
  <c r="G29" i="2"/>
  <c r="O62" i="2" s="1"/>
  <c r="E29" i="2"/>
  <c r="E15" i="1" s="1"/>
  <c r="D29" i="2"/>
  <c r="B15" i="1" s="1"/>
  <c r="O28" i="2"/>
  <c r="O27" i="2"/>
  <c r="O26" i="2"/>
  <c r="O25" i="2"/>
  <c r="O24" i="2"/>
  <c r="O23" i="2"/>
  <c r="G23" i="2"/>
  <c r="O61" i="2" s="1"/>
  <c r="E23" i="2"/>
  <c r="D23" i="2"/>
  <c r="O22" i="2"/>
  <c r="L6" i="1" s="1"/>
  <c r="G18" i="2"/>
  <c r="O60" i="2" s="1"/>
  <c r="E18" i="2"/>
  <c r="E13" i="1" s="1"/>
  <c r="D18" i="2"/>
  <c r="B13" i="1" s="1"/>
  <c r="O14" i="2"/>
  <c r="G14" i="2"/>
  <c r="O59" i="2" s="1"/>
  <c r="E14" i="2"/>
  <c r="E12" i="1" s="1"/>
  <c r="D14" i="2"/>
  <c r="B12" i="1" s="1"/>
  <c r="O13" i="2"/>
  <c r="G9" i="2"/>
  <c r="O63" i="2" s="1"/>
  <c r="E9" i="2"/>
  <c r="E11" i="1" s="1"/>
  <c r="D9" i="2"/>
  <c r="C30" i="1"/>
  <c r="C29" i="1"/>
  <c r="B29" i="1"/>
  <c r="C28" i="1"/>
  <c r="B28" i="1"/>
  <c r="G24" i="1"/>
  <c r="F24" i="1"/>
  <c r="F23" i="1"/>
  <c r="E23" i="1"/>
  <c r="C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H15" i="1"/>
  <c r="H14" i="1"/>
  <c r="E14" i="1"/>
  <c r="B14" i="1"/>
  <c r="H13" i="1"/>
  <c r="H12" i="1"/>
  <c r="H11" i="1"/>
  <c r="J6" i="1"/>
  <c r="O35" i="2" l="1"/>
  <c r="O46" i="2"/>
  <c r="G22" i="1"/>
  <c r="O50" i="2"/>
  <c r="G20" i="1"/>
  <c r="O48" i="2"/>
  <c r="D36" i="2"/>
  <c r="O51" i="2"/>
  <c r="O29" i="2"/>
  <c r="D30" i="2"/>
  <c r="C6" i="1" s="1"/>
  <c r="O11" i="2"/>
  <c r="O49" i="2" s="1"/>
  <c r="O58" i="2"/>
  <c r="G21" i="1"/>
  <c r="B11" i="1"/>
  <c r="O16" i="2"/>
  <c r="C14" i="1"/>
  <c r="D14" i="1" s="1"/>
  <c r="C13" i="1"/>
  <c r="D13" i="1" s="1"/>
  <c r="F14" i="1"/>
  <c r="I14" i="1" s="1"/>
  <c r="H22" i="1"/>
  <c r="C11" i="1"/>
  <c r="D11" i="1" s="1"/>
  <c r="F11" i="1"/>
  <c r="G11" i="1" s="1"/>
  <c r="C12" i="1"/>
  <c r="D12" i="1" s="1"/>
  <c r="B33" i="1"/>
  <c r="F15" i="1"/>
  <c r="F12" i="1"/>
  <c r="F13" i="1"/>
  <c r="F30" i="2"/>
  <c r="C32" i="1" s="1"/>
  <c r="H20" i="1"/>
  <c r="I20" i="1" s="1"/>
  <c r="C15" i="1"/>
  <c r="H24" i="1"/>
  <c r="I24" i="1" s="1"/>
  <c r="I9" i="2"/>
  <c r="G6" i="1" s="1"/>
  <c r="B16" i="1"/>
  <c r="E16" i="1" s="1"/>
  <c r="O30" i="2"/>
  <c r="O36" i="2"/>
  <c r="F36" i="2"/>
  <c r="H21" i="1"/>
  <c r="I12" i="2"/>
  <c r="H23" i="1"/>
  <c r="I23" i="1" s="1"/>
  <c r="O39" i="2"/>
  <c r="O45" i="2"/>
  <c r="O57" i="2"/>
  <c r="I22" i="1" l="1"/>
  <c r="P9" i="2"/>
  <c r="O47" i="2" s="1"/>
  <c r="B32" i="1"/>
  <c r="E32" i="1" s="1"/>
  <c r="I21" i="1"/>
  <c r="I11" i="1"/>
  <c r="G14" i="1"/>
  <c r="C16" i="1"/>
  <c r="F16" i="1" s="1"/>
  <c r="G16" i="1" s="1"/>
  <c r="G12" i="1"/>
  <c r="I12" i="1"/>
  <c r="I15" i="2"/>
  <c r="E6" i="1" s="1"/>
  <c r="D15" i="1"/>
  <c r="G15" i="1"/>
  <c r="I15" i="1"/>
  <c r="I13" i="1"/>
  <c r="G13" i="1"/>
  <c r="A6" i="1"/>
  <c r="D16" i="1" l="1"/>
  <c r="O15" i="2"/>
  <c r="O21" i="2"/>
</calcChain>
</file>

<file path=xl/sharedStrings.xml><?xml version="1.0" encoding="utf-8"?>
<sst xmlns="http://schemas.openxmlformats.org/spreadsheetml/2006/main" count="188" uniqueCount="97">
  <si>
    <t>UPRVUNL — Coal Rake Diversion Solver Dashboard</t>
  </si>
  <si>
    <t>Variable Cost (VC) optimisation across TPS through inter-plant rake diversion, subject to source-wise and plant-wise boundary conditions  |  July 2026</t>
  </si>
  <si>
    <t>Total Rakes (Conserved)</t>
  </si>
  <si>
    <t>Weighted Avg VC — Current</t>
  </si>
  <si>
    <t>Weighted Avg VC — After Diversion</t>
  </si>
  <si>
    <t>Max Plant VC — After Diversion</t>
  </si>
  <si>
    <t>Target VC (Ceiling)</t>
  </si>
  <si>
    <t>Active Diversion Moves</t>
  </si>
  <si>
    <t>Plant-wise Variable Cost — Current vs. Post-Diversion</t>
  </si>
  <si>
    <t>Thermal Power Station</t>
  </si>
  <si>
    <t>Rakes — Current</t>
  </si>
  <si>
    <t>Rakes — Diverted</t>
  </si>
  <si>
    <t>Δ Rakes</t>
  </si>
  <si>
    <t>VC — Current (Rs/Unit)</t>
  </si>
  <si>
    <t>VC — Diverted (Rs/Unit)</t>
  </si>
  <si>
    <t>Δ VC (Rs/Unit)</t>
  </si>
  <si>
    <t>Target VC</t>
  </si>
  <si>
    <t>Status</t>
  </si>
  <si>
    <t>Harduaganj (2X250 MW)</t>
  </si>
  <si>
    <t>Harduaganj (1X660 MW)</t>
  </si>
  <si>
    <t>Parichha</t>
  </si>
  <si>
    <t>Panki</t>
  </si>
  <si>
    <t>Jawaharpur*</t>
  </si>
  <si>
    <t>Total / Weighted Average</t>
  </si>
  <si>
    <t>Inter-Plant Rake Diversion Matrix — Δ Rakes by Coal Source (Diverted − Current)</t>
  </si>
  <si>
    <t>Coal Company</t>
  </si>
  <si>
    <t>Harduaganj
(2X250 MW)</t>
  </si>
  <si>
    <t>Harduaganj
(1X660 MW)</t>
  </si>
  <si>
    <t>Company Total
(Current)</t>
  </si>
  <si>
    <t>Company Total
(Diverted)</t>
  </si>
  <si>
    <t>Conserved?</t>
  </si>
  <si>
    <t>NCL</t>
  </si>
  <si>
    <t>–</t>
  </si>
  <si>
    <t>BCCL</t>
  </si>
  <si>
    <t>CCL</t>
  </si>
  <si>
    <t>SECL</t>
  </si>
  <si>
    <t>ECL</t>
  </si>
  <si>
    <t>Note: Green = rakes gained by that TPS from the source; Red = rakes given up. Each coal company's grand total (columns G–H) is held constant by the Solver's conservation constraint.</t>
  </si>
  <si>
    <t>Solver Boundary Conditions &amp; Constraint Check</t>
  </si>
  <si>
    <t>Constraint</t>
  </si>
  <si>
    <t>Lower Bound</t>
  </si>
  <si>
    <t>Upper Bound</t>
  </si>
  <si>
    <t>Basis</t>
  </si>
  <si>
    <t>Individual coal source (per plant)</t>
  </si>
  <si>
    <t>% of current rakes for that source at that plant</t>
  </si>
  <si>
    <t>Plant-wise total rakes</t>
  </si>
  <si>
    <t>% of current total rakes at that plant</t>
  </si>
  <si>
    <t>Target VC ceiling (aspirational)</t>
  </si>
  <si>
    <t>Rs/Unit — applies to each TPS's post-diversion VC</t>
  </si>
  <si>
    <t>Total rakes conserved (Σ Diverted = Σ Current)</t>
  </si>
  <si>
    <t>Current total  vs.  Diverted total</t>
  </si>
  <si>
    <t>Active diversion moves (non-zero Δ rakes)</t>
  </si>
  <si>
    <t>Count of coal-source × plant cells with a diversion program value</t>
  </si>
  <si>
    <t>How to re-run: open the source sheet, Data → Solver — objective is Min(I9) [max VC across TPS] or Min(I15) [fleet-wide weighted VC], changing cells are the “Rakes Diversion Program” column (F), subject to the source-wise and plant-wise bound constraints and the target-VC ceiling listed above. This Dashboard sheet is fully formula-linked to the solver sheet and refreshes automatically whenever Solver is re-run.</t>
  </si>
  <si>
    <t>Coal Cost Dynamics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 tentative Variable cost due to coal)</t>
  </si>
  <si>
    <t xml:space="preserve">        </t>
  </si>
  <si>
    <t>TPS</t>
  </si>
  <si>
    <t>Linkage/Bridge Linkage</t>
  </si>
  <si>
    <t>Name Of Coal Company</t>
  </si>
  <si>
    <t>Rakes alloted in July,  26</t>
  </si>
  <si>
    <t>VC as per rake allocation in July 26  (Rs/Unit)</t>
  </si>
  <si>
    <t>RakesDiversion Program in July,  26</t>
  </si>
  <si>
    <t>VC as per diverted rake in July 26  (Rs/Unit)</t>
  </si>
  <si>
    <t xml:space="preserve">Boundary Condition </t>
  </si>
  <si>
    <t>Harduaganj (110 MW)</t>
  </si>
  <si>
    <t>Linkage</t>
  </si>
  <si>
    <t xml:space="preserve">Individual Coal Source </t>
  </si>
  <si>
    <t xml:space="preserve">Plant Wise Coal Source </t>
  </si>
  <si>
    <t xml:space="preserve">Total Rakes </t>
  </si>
  <si>
    <t xml:space="preserve">Cannot exceed scheduled Rakes Program </t>
  </si>
  <si>
    <t xml:space="preserve"> Bridge Linkage</t>
  </si>
  <si>
    <t xml:space="preserve">CCL </t>
  </si>
  <si>
    <t xml:space="preserve">Weighatge Average VC </t>
  </si>
  <si>
    <t xml:space="preserve">Maximum VC </t>
  </si>
  <si>
    <t>Target VC (&lt;)</t>
  </si>
  <si>
    <t xml:space="preserve">Bridge Linkage </t>
  </si>
  <si>
    <t>Total UPRVUNL</t>
  </si>
  <si>
    <t>TOTAL</t>
  </si>
  <si>
    <r>
      <t xml:space="preserve">Coal Cost Dynamics                                                                                                                                                        
</t>
    </r>
    <r>
      <rPr>
        <b/>
        <sz val="11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 tentative Variable cost due to coal)</t>
    </r>
  </si>
  <si>
    <t>Annual Coal Linkage
 (in Lac MT)</t>
  </si>
  <si>
    <t>Actual Coal Consumption in 2025-26</t>
  </si>
  <si>
    <t>Rate of Coal (Rs/MT)</t>
  </si>
  <si>
    <t>Premium Rate (% of Basic Rate)</t>
  </si>
  <si>
    <t>Freight Rate (Rs/MT)</t>
  </si>
  <si>
    <t>Landed Cost of Coal (Rs/MT)</t>
  </si>
  <si>
    <t>Actual Landed cost of Coal in April 2026</t>
  </si>
  <si>
    <t>Specific Coal Consumption (Kg/Kwh)</t>
  </si>
  <si>
    <t>APC</t>
  </si>
  <si>
    <t>Approx. Variable Charges (Rs/Unit)</t>
  </si>
  <si>
    <t>Rakes allocated</t>
  </si>
  <si>
    <t>Expected Rate (Rs/Unit)</t>
  </si>
  <si>
    <t>Rakes receipt planning in July 26</t>
  </si>
  <si>
    <t>Probable VC after diversion of rakes in July 2026  (Rs/Unit)</t>
  </si>
  <si>
    <t>Current VC (Rs/Unit) for 01.07.26 to 15.07.26</t>
  </si>
  <si>
    <t>Remarks</t>
  </si>
  <si>
    <t>Till 09.07.2026,
Total rakes diverted = 11 rakes   ( 9 rakes of BCCL from Jawaharpur to other plant 3-Hdj, 6-Panki). 2 CCL  rakes of Panki  diverted to jawaharpur TPS.</t>
  </si>
  <si>
    <t>No. Of Rakes in a day as per MSQ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</si>
</sst>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;\-0;0"/>
    <numFmt numFmtId="165" formatCode="\+0.00;\-0.00;0.00"/>
    <numFmt numFmtId="166" formatCode="0.0"/>
    <numFmt numFmtId="167" formatCode="0.000"/>
  </numFmts>
  <fonts count="52" x14ac:knownFonts="1">
    <font>
      <sz val="11"/>
      <color theme="1"/>
      <name val="Aptos Narrow"/>
      <family val="2"/>
      <charset val="1"/>
    </font>
    <font>
      <b/>
      <sz val="20"/>
      <color rgb="FFFFFFFF"/>
      <name val="Times New Roman"/>
      <family val="1"/>
    </font>
    <font>
      <i/>
      <sz val="10"/>
      <color rgb="FFFFFFFF"/>
      <name val="Times New Roman"/>
      <family val="1"/>
    </font>
    <font>
      <b/>
      <sz val="9.5"/>
      <color rgb="FF1F3864"/>
      <name val="Times New Roman"/>
      <family val="1"/>
    </font>
    <font>
      <b/>
      <sz val="9.5"/>
      <color rgb="FF1E7145"/>
      <name val="Times New Roman"/>
      <family val="1"/>
    </font>
    <font>
      <b/>
      <sz val="18"/>
      <color rgb="FF1F3864"/>
      <name val="Times New Roman"/>
      <family val="1"/>
    </font>
    <font>
      <b/>
      <sz val="18"/>
      <color rgb="FF1E7145"/>
      <name val="Times New Roman"/>
      <family val="1"/>
    </font>
    <font>
      <b/>
      <sz val="12.5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name val="Times New Roman"/>
      <family val="1"/>
    </font>
    <font>
      <b/>
      <sz val="11"/>
      <color rgb="FFFFFFFF"/>
      <name val="Times New Roman"/>
      <family val="1"/>
    </font>
    <font>
      <b/>
      <sz val="9.5"/>
      <color rgb="FFFFFFFF"/>
      <name val="Times New Roman"/>
      <family val="1"/>
    </font>
    <font>
      <b/>
      <sz val="11"/>
      <name val="Times New Roman"/>
      <family val="1"/>
    </font>
    <font>
      <i/>
      <sz val="8.5"/>
      <color rgb="FF595959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i/>
      <sz val="9"/>
      <color rgb="FF595959"/>
      <name val="Times New Roman"/>
      <family val="1"/>
    </font>
    <font>
      <b/>
      <sz val="11"/>
      <color theme="1"/>
      <name val="Aptos Narrow"/>
      <family val="2"/>
      <charset val="1"/>
    </font>
    <font>
      <b/>
      <sz val="20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b/>
      <sz val="14"/>
      <color theme="1"/>
      <name val="Times New Roman"/>
      <family val="1"/>
      <charset val="1"/>
    </font>
    <font>
      <b/>
      <sz val="16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sz val="14"/>
      <color rgb="FFFF0000"/>
      <name val="Aptos Narrow"/>
      <family val="2"/>
      <charset val="1"/>
    </font>
    <font>
      <b/>
      <sz val="20"/>
      <name val="Aptos Narrow"/>
      <family val="2"/>
      <charset val="1"/>
    </font>
    <font>
      <sz val="14"/>
      <color theme="1"/>
      <name val="Aptos Narrow"/>
      <family val="2"/>
      <charset val="1"/>
    </font>
    <font>
      <sz val="12"/>
      <name val="Aptos Narrow"/>
      <family val="2"/>
      <charset val="1"/>
    </font>
    <font>
      <sz val="14"/>
      <name val="Aptos Narrow"/>
      <family val="2"/>
      <charset val="1"/>
    </font>
    <font>
      <b/>
      <sz val="14"/>
      <color rgb="FFFF0000"/>
      <name val="Aptos Narrow"/>
      <family val="2"/>
      <charset val="1"/>
    </font>
    <font>
      <b/>
      <sz val="14"/>
      <name val="Aptos Narrow"/>
      <family val="2"/>
      <charset val="1"/>
    </font>
    <font>
      <b/>
      <sz val="16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2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CE6F1"/>
        <bgColor rgb="FFDCEAF7"/>
      </patternFill>
    </fill>
    <fill>
      <patternFill patternType="solid">
        <fgColor rgb="FFE2F0D9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3" tint="0.79979857783745845"/>
        <bgColor rgb="FFA6CAEC"/>
      </patternFill>
    </fill>
    <fill>
      <patternFill patternType="solid">
        <fgColor theme="3" tint="0.74977874080629903"/>
        <bgColor rgb="FF9DC3E6"/>
      </patternFill>
    </fill>
    <fill>
      <patternFill patternType="solid">
        <fgColor theme="2"/>
        <bgColor rgb="FFDCE6F1"/>
      </patternFill>
    </fill>
    <fill>
      <patternFill patternType="solid">
        <fgColor rgb="FFFFC000"/>
        <bgColor rgb="FFFFFF00"/>
      </patternFill>
    </fill>
    <fill>
      <patternFill patternType="solid">
        <fgColor theme="3" tint="0.89989928891872917"/>
        <bgColor rgb="FFDCE6F1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B0002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7">
    <xf numFmtId="0" fontId="0" fillId="0" borderId="0" xfId="0"/>
    <xf numFmtId="0" fontId="20" fillId="7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6" borderId="1" xfId="0" applyFont="1" applyFill="1" applyBorder="1"/>
    <xf numFmtId="1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9" fillId="4" borderId="1" xfId="0" applyFont="1" applyFill="1" applyBorder="1"/>
    <xf numFmtId="1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2" fontId="9" fillId="4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14" fillId="0" borderId="1" xfId="0" applyFont="1" applyBorder="1"/>
    <xf numFmtId="9" fontId="0" fillId="0" borderId="1" xfId="0" applyNumberFormat="1" applyBorder="1" applyAlignment="1">
      <alignment horizontal="center"/>
    </xf>
    <xf numFmtId="0" fontId="15" fillId="0" borderId="1" xfId="0" applyFont="1" applyBorder="1"/>
    <xf numFmtId="0" fontId="0" fillId="0" borderId="1" xfId="0" applyBorder="1"/>
    <xf numFmtId="0" fontId="17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/>
    </xf>
    <xf numFmtId="2" fontId="24" fillId="8" borderId="7" xfId="0" applyNumberFormat="1" applyFont="1" applyFill="1" applyBorder="1" applyAlignment="1">
      <alignment horizontal="center" vertical="center"/>
    </xf>
    <xf numFmtId="0" fontId="0" fillId="0" borderId="5" xfId="0" applyBorder="1"/>
    <xf numFmtId="0" fontId="25" fillId="8" borderId="5" xfId="0" applyFont="1" applyFill="1" applyBorder="1" applyAlignment="1">
      <alignment horizontal="center" vertical="center"/>
    </xf>
    <xf numFmtId="2" fontId="24" fillId="8" borderId="5" xfId="0" applyNumberFormat="1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2" fontId="18" fillId="9" borderId="5" xfId="0" applyNumberFormat="1" applyFont="1" applyFill="1" applyBorder="1" applyAlignment="1">
      <alignment horizontal="center" vertical="center"/>
    </xf>
    <xf numFmtId="2" fontId="24" fillId="9" borderId="5" xfId="0" applyNumberFormat="1" applyFont="1" applyFill="1" applyBorder="1" applyAlignment="1">
      <alignment horizontal="center" vertical="center"/>
    </xf>
    <xf numFmtId="0" fontId="23" fillId="10" borderId="10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2" fontId="24" fillId="10" borderId="5" xfId="0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9" fontId="21" fillId="0" borderId="5" xfId="0" applyNumberFormat="1" applyFont="1" applyBorder="1" applyAlignment="1">
      <alignment horizontal="center"/>
    </xf>
    <xf numFmtId="9" fontId="19" fillId="0" borderId="5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10" borderId="5" xfId="0" applyFont="1" applyFill="1" applyBorder="1" applyAlignment="1">
      <alignment horizontal="center" vertical="center"/>
    </xf>
    <xf numFmtId="1" fontId="18" fillId="10" borderId="5" xfId="0" applyNumberFormat="1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2" fontId="24" fillId="11" borderId="5" xfId="0" applyNumberFormat="1" applyFont="1" applyFill="1" applyBorder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21" fillId="0" borderId="5" xfId="0" applyFont="1" applyBorder="1" applyAlignment="1">
      <alignment horizontal="center"/>
    </xf>
    <xf numFmtId="1" fontId="19" fillId="0" borderId="5" xfId="0" applyNumberFormat="1" applyFont="1" applyBorder="1" applyAlignment="1">
      <alignment horizontal="center"/>
    </xf>
    <xf numFmtId="0" fontId="27" fillId="12" borderId="10" xfId="0" applyFont="1" applyFill="1" applyBorder="1" applyAlignment="1">
      <alignment horizontal="center" vertical="center"/>
    </xf>
    <xf numFmtId="1" fontId="18" fillId="12" borderId="5" xfId="0" applyNumberFormat="1" applyFont="1" applyFill="1" applyBorder="1" applyAlignment="1">
      <alignment horizontal="center" vertical="center"/>
    </xf>
    <xf numFmtId="2" fontId="24" fillId="12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21" fillId="0" borderId="5" xfId="0" applyNumberFormat="1" applyFont="1" applyBorder="1" applyAlignment="1">
      <alignment horizontal="center" vertical="center"/>
    </xf>
    <xf numFmtId="0" fontId="28" fillId="12" borderId="5" xfId="0" applyFont="1" applyFill="1" applyBorder="1" applyAlignment="1">
      <alignment horizontal="center" vertical="center"/>
    </xf>
    <xf numFmtId="0" fontId="19" fillId="12" borderId="5" xfId="0" applyFont="1" applyFill="1" applyBorder="1" applyAlignment="1">
      <alignment horizontal="center" vertical="center"/>
    </xf>
    <xf numFmtId="0" fontId="29" fillId="12" borderId="8" xfId="0" applyFont="1" applyFill="1" applyBorder="1" applyAlignment="1">
      <alignment horizontal="center" vertical="center"/>
    </xf>
    <xf numFmtId="2" fontId="24" fillId="13" borderId="5" xfId="0" applyNumberFormat="1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21" fillId="0" borderId="5" xfId="0" applyNumberFormat="1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3" fillId="12" borderId="5" xfId="0" applyFont="1" applyFill="1" applyBorder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27" fillId="12" borderId="14" xfId="0" applyFont="1" applyFill="1" applyBorder="1" applyAlignment="1">
      <alignment horizontal="center" vertical="center"/>
    </xf>
    <xf numFmtId="0" fontId="27" fillId="12" borderId="8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3" fillId="10" borderId="5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/>
    </xf>
    <xf numFmtId="1" fontId="18" fillId="10" borderId="14" xfId="0" applyNumberFormat="1" applyFont="1" applyFill="1" applyBorder="1" applyAlignment="1">
      <alignment horizontal="center" vertical="center"/>
    </xf>
    <xf numFmtId="2" fontId="24" fillId="14" borderId="14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1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66" fontId="18" fillId="10" borderId="5" xfId="0" applyNumberFormat="1" applyFont="1" applyFill="1" applyBorder="1" applyAlignment="1">
      <alignment horizontal="center" vertical="center"/>
    </xf>
    <xf numFmtId="0" fontId="35" fillId="0" borderId="5" xfId="0" applyFont="1" applyBorder="1" applyAlignment="1">
      <alignment vertical="center"/>
    </xf>
    <xf numFmtId="0" fontId="35" fillId="0" borderId="5" xfId="0" applyFont="1" applyBorder="1" applyAlignment="1">
      <alignment vertical="center" wrapText="1"/>
    </xf>
    <xf numFmtId="0" fontId="36" fillId="0" borderId="5" xfId="0" applyFont="1" applyBorder="1" applyAlignment="1">
      <alignment vertical="center" wrapText="1"/>
    </xf>
    <xf numFmtId="0" fontId="37" fillId="0" borderId="0" xfId="0" applyFont="1" applyAlignment="1">
      <alignment horizontal="center" vertical="center" wrapText="1"/>
    </xf>
    <xf numFmtId="166" fontId="42" fillId="15" borderId="5" xfId="0" applyNumberFormat="1" applyFont="1" applyFill="1" applyBorder="1" applyAlignment="1">
      <alignment horizontal="center" vertical="center"/>
    </xf>
    <xf numFmtId="0" fontId="39" fillId="16" borderId="10" xfId="0" applyFont="1" applyFill="1" applyBorder="1" applyAlignment="1">
      <alignment horizontal="center" vertical="center"/>
    </xf>
    <xf numFmtId="0" fontId="43" fillId="16" borderId="10" xfId="0" applyFont="1" applyFill="1" applyBorder="1" applyAlignment="1">
      <alignment horizontal="center" vertical="center"/>
    </xf>
    <xf numFmtId="1" fontId="41" fillId="16" borderId="31" xfId="0" applyNumberFormat="1" applyFont="1" applyFill="1" applyBorder="1" applyAlignment="1">
      <alignment horizontal="center" vertical="center"/>
    </xf>
    <xf numFmtId="167" fontId="33" fillId="16" borderId="31" xfId="0" applyNumberFormat="1" applyFont="1" applyFill="1" applyBorder="1" applyAlignment="1">
      <alignment horizontal="center" vertical="center"/>
    </xf>
    <xf numFmtId="2" fontId="33" fillId="16" borderId="31" xfId="0" applyNumberFormat="1" applyFont="1" applyFill="1" applyBorder="1" applyAlignment="1">
      <alignment horizontal="center" vertical="center"/>
    </xf>
    <xf numFmtId="2" fontId="41" fillId="16" borderId="31" xfId="0" applyNumberFormat="1" applyFont="1" applyFill="1" applyBorder="1" applyAlignment="1">
      <alignment horizontal="center" vertical="center"/>
    </xf>
    <xf numFmtId="2" fontId="33" fillId="16" borderId="5" xfId="0" applyNumberFormat="1" applyFont="1" applyFill="1" applyBorder="1" applyAlignment="1">
      <alignment horizontal="center" vertical="center"/>
    </xf>
    <xf numFmtId="0" fontId="33" fillId="16" borderId="5" xfId="0" applyFont="1" applyFill="1" applyBorder="1" applyAlignment="1">
      <alignment horizontal="center"/>
    </xf>
    <xf numFmtId="0" fontId="33" fillId="16" borderId="5" xfId="0" applyFont="1" applyFill="1" applyBorder="1" applyAlignment="1">
      <alignment horizontal="center" vertical="center"/>
    </xf>
    <xf numFmtId="0" fontId="42" fillId="16" borderId="5" xfId="0" applyFont="1" applyFill="1" applyBorder="1" applyAlignment="1">
      <alignment horizontal="center" vertical="center"/>
    </xf>
    <xf numFmtId="2" fontId="42" fillId="16" borderId="27" xfId="0" applyNumberFormat="1" applyFont="1" applyFill="1" applyBorder="1" applyAlignment="1">
      <alignment horizontal="center" vertical="center"/>
    </xf>
    <xf numFmtId="0" fontId="44" fillId="16" borderId="5" xfId="0" applyFont="1" applyFill="1" applyBorder="1" applyAlignment="1">
      <alignment horizontal="center" vertical="center"/>
    </xf>
    <xf numFmtId="0" fontId="43" fillId="16" borderId="5" xfId="0" applyFont="1" applyFill="1" applyBorder="1" applyAlignment="1">
      <alignment horizontal="center" vertical="center"/>
    </xf>
    <xf numFmtId="1" fontId="33" fillId="16" borderId="27" xfId="0" applyNumberFormat="1" applyFont="1" applyFill="1" applyBorder="1" applyAlignment="1">
      <alignment horizontal="center" vertical="center"/>
    </xf>
    <xf numFmtId="167" fontId="33" fillId="16" borderId="25" xfId="0" applyNumberFormat="1" applyFont="1" applyFill="1" applyBorder="1" applyAlignment="1">
      <alignment horizontal="center" vertical="center"/>
    </xf>
    <xf numFmtId="2" fontId="33" fillId="16" borderId="25" xfId="0" applyNumberFormat="1" applyFont="1" applyFill="1" applyBorder="1" applyAlignment="1">
      <alignment horizontal="center" vertical="center"/>
    </xf>
    <xf numFmtId="1" fontId="33" fillId="16" borderId="5" xfId="0" applyNumberFormat="1" applyFont="1" applyFill="1" applyBorder="1" applyAlignment="1">
      <alignment horizontal="center" vertical="center"/>
    </xf>
    <xf numFmtId="2" fontId="42" fillId="16" borderId="5" xfId="0" applyNumberFormat="1" applyFont="1" applyFill="1" applyBorder="1" applyAlignment="1">
      <alignment horizontal="center" vertical="center"/>
    </xf>
    <xf numFmtId="1" fontId="42" fillId="16" borderId="5" xfId="0" applyNumberFormat="1" applyFont="1" applyFill="1" applyBorder="1" applyAlignment="1">
      <alignment horizontal="center" vertical="center"/>
    </xf>
    <xf numFmtId="0" fontId="38" fillId="16" borderId="8" xfId="0" applyFont="1" applyFill="1" applyBorder="1" applyAlignment="1">
      <alignment horizontal="center" vertical="center"/>
    </xf>
    <xf numFmtId="0" fontId="44" fillId="16" borderId="8" xfId="0" applyFont="1" applyFill="1" applyBorder="1" applyAlignment="1">
      <alignment horizontal="center" vertical="center"/>
    </xf>
    <xf numFmtId="0" fontId="33" fillId="16" borderId="8" xfId="0" applyFont="1" applyFill="1" applyBorder="1" applyAlignment="1">
      <alignment horizontal="center" vertical="center"/>
    </xf>
    <xf numFmtId="1" fontId="43" fillId="16" borderId="8" xfId="0" applyNumberFormat="1" applyFont="1" applyFill="1" applyBorder="1" applyAlignment="1">
      <alignment horizontal="center" vertical="center"/>
    </xf>
    <xf numFmtId="1" fontId="33" fillId="16" borderId="29" xfId="0" applyNumberFormat="1" applyFont="1" applyFill="1" applyBorder="1" applyAlignment="1">
      <alignment horizontal="center" vertical="center"/>
    </xf>
    <xf numFmtId="167" fontId="33" fillId="16" borderId="30" xfId="0" applyNumberFormat="1" applyFont="1" applyFill="1" applyBorder="1" applyAlignment="1">
      <alignment horizontal="center" vertical="center"/>
    </xf>
    <xf numFmtId="2" fontId="33" fillId="16" borderId="30" xfId="0" applyNumberFormat="1" applyFont="1" applyFill="1" applyBorder="1" applyAlignment="1">
      <alignment horizontal="center" vertical="center"/>
    </xf>
    <xf numFmtId="2" fontId="42" fillId="17" borderId="5" xfId="0" applyNumberFormat="1" applyFont="1" applyFill="1" applyBorder="1" applyAlignment="1">
      <alignment horizontal="center" vertical="center"/>
    </xf>
    <xf numFmtId="2" fontId="42" fillId="17" borderId="27" xfId="0" applyNumberFormat="1" applyFont="1" applyFill="1" applyBorder="1" applyAlignment="1">
      <alignment horizontal="center" vertical="center"/>
    </xf>
    <xf numFmtId="0" fontId="46" fillId="18" borderId="10" xfId="0" applyFont="1" applyFill="1" applyBorder="1" applyAlignment="1">
      <alignment horizontal="center" vertical="center"/>
    </xf>
    <xf numFmtId="0" fontId="40" fillId="18" borderId="10" xfId="0" applyFont="1" applyFill="1" applyBorder="1" applyAlignment="1">
      <alignment horizontal="center" vertical="center"/>
    </xf>
    <xf numFmtId="1" fontId="42" fillId="18" borderId="31" xfId="0" applyNumberFormat="1" applyFont="1" applyFill="1" applyBorder="1" applyAlignment="1">
      <alignment horizontal="center" vertical="center"/>
    </xf>
    <xf numFmtId="167" fontId="42" fillId="18" borderId="31" xfId="0" applyNumberFormat="1" applyFont="1" applyFill="1" applyBorder="1" applyAlignment="1">
      <alignment horizontal="center" vertical="center"/>
    </xf>
    <xf numFmtId="2" fontId="42" fillId="18" borderId="31" xfId="0" applyNumberFormat="1" applyFont="1" applyFill="1" applyBorder="1" applyAlignment="1">
      <alignment horizontal="center" vertical="center"/>
    </xf>
    <xf numFmtId="2" fontId="42" fillId="18" borderId="5" xfId="0" applyNumberFormat="1" applyFont="1" applyFill="1" applyBorder="1" applyAlignment="1">
      <alignment horizontal="center" vertical="center"/>
    </xf>
    <xf numFmtId="1" fontId="33" fillId="18" borderId="5" xfId="0" applyNumberFormat="1" applyFont="1" applyFill="1" applyBorder="1" applyAlignment="1">
      <alignment horizontal="center" vertical="center"/>
    </xf>
    <xf numFmtId="1" fontId="42" fillId="18" borderId="5" xfId="0" applyNumberFormat="1" applyFont="1" applyFill="1" applyBorder="1" applyAlignment="1">
      <alignment horizontal="center" vertical="center"/>
    </xf>
    <xf numFmtId="2" fontId="42" fillId="18" borderId="27" xfId="0" applyNumberFormat="1" applyFont="1" applyFill="1" applyBorder="1" applyAlignment="1">
      <alignment horizontal="center" vertical="center"/>
    </xf>
    <xf numFmtId="0" fontId="47" fillId="18" borderId="5" xfId="0" applyFont="1" applyFill="1" applyBorder="1" applyAlignment="1">
      <alignment horizontal="center" vertical="center"/>
    </xf>
    <xf numFmtId="0" fontId="42" fillId="18" borderId="5" xfId="0" applyFont="1" applyFill="1" applyBorder="1" applyAlignment="1">
      <alignment horizontal="center" vertical="center"/>
    </xf>
    <xf numFmtId="1" fontId="42" fillId="18" borderId="27" xfId="0" applyNumberFormat="1" applyFont="1" applyFill="1" applyBorder="1" applyAlignment="1">
      <alignment horizontal="center" vertical="center"/>
    </xf>
    <xf numFmtId="167" fontId="42" fillId="18" borderId="25" xfId="0" applyNumberFormat="1" applyFont="1" applyFill="1" applyBorder="1" applyAlignment="1">
      <alignment horizontal="center" vertical="center"/>
    </xf>
    <xf numFmtId="2" fontId="42" fillId="18" borderId="25" xfId="0" applyNumberFormat="1" applyFont="1" applyFill="1" applyBorder="1" applyAlignment="1">
      <alignment horizontal="center" vertical="center"/>
    </xf>
    <xf numFmtId="2" fontId="41" fillId="18" borderId="25" xfId="0" applyNumberFormat="1" applyFont="1" applyFill="1" applyBorder="1" applyAlignment="1">
      <alignment horizontal="center" vertical="center"/>
    </xf>
    <xf numFmtId="0" fontId="34" fillId="18" borderId="5" xfId="0" applyFont="1" applyFill="1" applyBorder="1" applyAlignment="1">
      <alignment horizontal="center" vertical="center"/>
    </xf>
    <xf numFmtId="2" fontId="33" fillId="18" borderId="25" xfId="0" applyNumberFormat="1" applyFont="1" applyFill="1" applyBorder="1" applyAlignment="1">
      <alignment horizontal="center" vertical="center"/>
    </xf>
    <xf numFmtId="1" fontId="41" fillId="18" borderId="27" xfId="0" applyNumberFormat="1" applyFont="1" applyFill="1" applyBorder="1" applyAlignment="1">
      <alignment horizontal="center" vertical="center"/>
    </xf>
    <xf numFmtId="0" fontId="48" fillId="18" borderId="8" xfId="0" applyFont="1" applyFill="1" applyBorder="1" applyAlignment="1">
      <alignment horizontal="center" vertical="center"/>
    </xf>
    <xf numFmtId="0" fontId="42" fillId="18" borderId="8" xfId="0" applyFont="1" applyFill="1" applyBorder="1" applyAlignment="1">
      <alignment horizontal="center" vertical="center"/>
    </xf>
    <xf numFmtId="1" fontId="42" fillId="18" borderId="8" xfId="0" applyNumberFormat="1" applyFont="1" applyFill="1" applyBorder="1" applyAlignment="1">
      <alignment horizontal="center" vertical="center"/>
    </xf>
    <xf numFmtId="1" fontId="42" fillId="18" borderId="29" xfId="0" applyNumberFormat="1" applyFont="1" applyFill="1" applyBorder="1" applyAlignment="1">
      <alignment horizontal="center" vertical="center"/>
    </xf>
    <xf numFmtId="167" fontId="42" fillId="18" borderId="30" xfId="0" applyNumberFormat="1" applyFont="1" applyFill="1" applyBorder="1" applyAlignment="1">
      <alignment horizontal="center" vertical="center"/>
    </xf>
    <xf numFmtId="2" fontId="42" fillId="18" borderId="30" xfId="0" applyNumberFormat="1" applyFont="1" applyFill="1" applyBorder="1" applyAlignment="1">
      <alignment horizontal="center" vertical="center"/>
    </xf>
    <xf numFmtId="2" fontId="42" fillId="19" borderId="5" xfId="0" applyNumberFormat="1" applyFont="1" applyFill="1" applyBorder="1" applyAlignment="1">
      <alignment horizontal="center" vertical="center"/>
    </xf>
    <xf numFmtId="2" fontId="42" fillId="19" borderId="27" xfId="0" applyNumberFormat="1" applyFont="1" applyFill="1" applyBorder="1" applyAlignment="1">
      <alignment horizontal="center" vertical="center"/>
    </xf>
    <xf numFmtId="0" fontId="44" fillId="16" borderId="10" xfId="0" applyFont="1" applyFill="1" applyBorder="1" applyAlignment="1">
      <alignment horizontal="center" vertical="center"/>
    </xf>
    <xf numFmtId="0" fontId="40" fillId="16" borderId="10" xfId="0" applyFont="1" applyFill="1" applyBorder="1" applyAlignment="1">
      <alignment horizontal="center" vertical="center"/>
    </xf>
    <xf numFmtId="1" fontId="42" fillId="16" borderId="31" xfId="0" applyNumberFormat="1" applyFont="1" applyFill="1" applyBorder="1" applyAlignment="1">
      <alignment horizontal="center" vertical="center"/>
    </xf>
    <xf numFmtId="167" fontId="41" fillId="16" borderId="31" xfId="0" applyNumberFormat="1" applyFont="1" applyFill="1" applyBorder="1" applyAlignment="1">
      <alignment horizontal="center" vertical="center"/>
    </xf>
    <xf numFmtId="2" fontId="41" fillId="16" borderId="5" xfId="0" applyNumberFormat="1" applyFont="1" applyFill="1" applyBorder="1" applyAlignment="1">
      <alignment horizontal="center" vertical="center"/>
    </xf>
    <xf numFmtId="0" fontId="40" fillId="16" borderId="5" xfId="0" applyFont="1" applyFill="1" applyBorder="1" applyAlignment="1">
      <alignment horizontal="center" vertical="center"/>
    </xf>
    <xf numFmtId="1" fontId="42" fillId="16" borderId="27" xfId="0" applyNumberFormat="1" applyFont="1" applyFill="1" applyBorder="1" applyAlignment="1">
      <alignment horizontal="center" vertical="center"/>
    </xf>
    <xf numFmtId="167" fontId="41" fillId="16" borderId="25" xfId="0" applyNumberFormat="1" applyFont="1" applyFill="1" applyBorder="1" applyAlignment="1">
      <alignment horizontal="center" vertical="center"/>
    </xf>
    <xf numFmtId="2" fontId="41" fillId="16" borderId="25" xfId="0" applyNumberFormat="1" applyFont="1" applyFill="1" applyBorder="1" applyAlignment="1">
      <alignment horizontal="center" vertical="center"/>
    </xf>
    <xf numFmtId="1" fontId="40" fillId="16" borderId="5" xfId="0" applyNumberFormat="1" applyFont="1" applyFill="1" applyBorder="1" applyAlignment="1">
      <alignment horizontal="center" vertical="center"/>
    </xf>
    <xf numFmtId="2" fontId="42" fillId="20" borderId="27" xfId="0" applyNumberFormat="1" applyFont="1" applyFill="1" applyBorder="1" applyAlignment="1">
      <alignment horizontal="center" vertical="center"/>
    </xf>
    <xf numFmtId="0" fontId="33" fillId="18" borderId="5" xfId="0" applyFont="1" applyFill="1" applyBorder="1" applyAlignment="1">
      <alignment horizontal="center"/>
    </xf>
    <xf numFmtId="0" fontId="39" fillId="18" borderId="5" xfId="0" applyFont="1" applyFill="1" applyBorder="1" applyAlignment="1">
      <alignment horizontal="center" vertical="center"/>
    </xf>
    <xf numFmtId="0" fontId="40" fillId="18" borderId="5" xfId="0" applyFont="1" applyFill="1" applyBorder="1" applyAlignment="1">
      <alignment horizontal="center" vertical="center"/>
    </xf>
    <xf numFmtId="0" fontId="46" fillId="18" borderId="5" xfId="0" applyFont="1" applyFill="1" applyBorder="1" applyAlignment="1">
      <alignment horizontal="center" vertical="center"/>
    </xf>
    <xf numFmtId="1" fontId="40" fillId="18" borderId="5" xfId="0" applyNumberFormat="1" applyFont="1" applyFill="1" applyBorder="1" applyAlignment="1">
      <alignment horizontal="center" vertical="center"/>
    </xf>
    <xf numFmtId="0" fontId="46" fillId="18" borderId="14" xfId="0" applyFont="1" applyFill="1" applyBorder="1" applyAlignment="1">
      <alignment horizontal="center" vertical="center"/>
    </xf>
    <xf numFmtId="0" fontId="40" fillId="18" borderId="14" xfId="0" applyFont="1" applyFill="1" applyBorder="1" applyAlignment="1">
      <alignment horizontal="center" vertical="center"/>
    </xf>
    <xf numFmtId="0" fontId="46" fillId="18" borderId="8" xfId="0" applyFont="1" applyFill="1" applyBorder="1" applyAlignment="1">
      <alignment horizontal="center" vertical="center"/>
    </xf>
    <xf numFmtId="0" fontId="40" fillId="18" borderId="8" xfId="0" applyFont="1" applyFill="1" applyBorder="1" applyAlignment="1">
      <alignment horizontal="center" vertical="center"/>
    </xf>
    <xf numFmtId="1" fontId="40" fillId="18" borderId="8" xfId="0" applyNumberFormat="1" applyFont="1" applyFill="1" applyBorder="1" applyAlignment="1">
      <alignment horizontal="center" vertical="center"/>
    </xf>
    <xf numFmtId="0" fontId="44" fillId="16" borderId="14" xfId="0" applyFont="1" applyFill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16" borderId="14" xfId="0" applyFont="1" applyFill="1" applyBorder="1" applyAlignment="1">
      <alignment horizontal="center" vertical="center"/>
    </xf>
    <xf numFmtId="1" fontId="33" fillId="16" borderId="14" xfId="0" applyNumberFormat="1" applyFont="1" applyFill="1" applyBorder="1" applyAlignment="1">
      <alignment horizontal="center" vertical="center"/>
    </xf>
    <xf numFmtId="0" fontId="39" fillId="16" borderId="5" xfId="0" applyFont="1" applyFill="1" applyBorder="1" applyAlignment="1">
      <alignment horizontal="center" vertical="center"/>
    </xf>
    <xf numFmtId="0" fontId="44" fillId="16" borderId="16" xfId="0" applyFont="1" applyFill="1" applyBorder="1" applyAlignment="1">
      <alignment horizontal="center" vertical="center"/>
    </xf>
    <xf numFmtId="1" fontId="33" fillId="16" borderId="33" xfId="0" applyNumberFormat="1" applyFont="1" applyFill="1" applyBorder="1" applyAlignment="1">
      <alignment horizontal="center" vertical="center"/>
    </xf>
    <xf numFmtId="1" fontId="43" fillId="16" borderId="14" xfId="0" applyNumberFormat="1" applyFont="1" applyFill="1" applyBorder="1" applyAlignment="1">
      <alignment horizontal="center" vertical="center"/>
    </xf>
    <xf numFmtId="167" fontId="33" fillId="16" borderId="34" xfId="0" applyNumberFormat="1" applyFont="1" applyFill="1" applyBorder="1" applyAlignment="1">
      <alignment horizontal="center" vertical="center"/>
    </xf>
    <xf numFmtId="2" fontId="33" fillId="16" borderId="34" xfId="0" applyNumberFormat="1" applyFont="1" applyFill="1" applyBorder="1" applyAlignment="1">
      <alignment horizontal="center" vertical="center"/>
    </xf>
    <xf numFmtId="166" fontId="42" fillId="15" borderId="14" xfId="0" applyNumberFormat="1" applyFont="1" applyFill="1" applyBorder="1" applyAlignment="1">
      <alignment horizontal="center" vertical="center"/>
    </xf>
    <xf numFmtId="2" fontId="41" fillId="16" borderId="14" xfId="0" applyNumberFormat="1" applyFont="1" applyFill="1" applyBorder="1" applyAlignment="1">
      <alignment horizontal="center" vertical="center"/>
    </xf>
    <xf numFmtId="2" fontId="42" fillId="21" borderId="14" xfId="0" applyNumberFormat="1" applyFont="1" applyFill="1" applyBorder="1" applyAlignment="1">
      <alignment horizontal="center" vertical="center"/>
    </xf>
    <xf numFmtId="1" fontId="42" fillId="16" borderId="14" xfId="0" applyNumberFormat="1" applyFont="1" applyFill="1" applyBorder="1" applyAlignment="1">
      <alignment horizontal="center" vertical="center"/>
    </xf>
    <xf numFmtId="2" fontId="42" fillId="19" borderId="33" xfId="0" applyNumberFormat="1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1" fontId="33" fillId="0" borderId="10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5" xfId="0" applyFont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166" fontId="33" fillId="0" borderId="5" xfId="0" applyNumberFormat="1" applyFont="1" applyBorder="1" applyAlignment="1">
      <alignment horizontal="center" vertical="center"/>
    </xf>
    <xf numFmtId="1" fontId="33" fillId="0" borderId="5" xfId="0" applyNumberFormat="1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43" fillId="0" borderId="8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1" fontId="33" fillId="0" borderId="8" xfId="0" applyNumberFormat="1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/>
    </xf>
    <xf numFmtId="0" fontId="33" fillId="0" borderId="38" xfId="0" applyFont="1" applyBorder="1" applyAlignment="1">
      <alignment horizontal="center"/>
    </xf>
    <xf numFmtId="0" fontId="32" fillId="0" borderId="0" xfId="0" applyFont="1"/>
    <xf numFmtId="166" fontId="32" fillId="0" borderId="0" xfId="0" applyNumberFormat="1" applyFont="1"/>
    <xf numFmtId="0" fontId="32" fillId="0" borderId="0" xfId="0" applyFont="1" applyAlignment="1">
      <alignment horizontal="center" vertical="center"/>
    </xf>
    <xf numFmtId="0" fontId="30" fillId="12" borderId="9" xfId="0" applyFont="1" applyFill="1" applyBorder="1" applyAlignment="1">
      <alignment horizontal="center" vertical="center" wrapText="1"/>
    </xf>
    <xf numFmtId="0" fontId="26" fillId="12" borderId="13" xfId="0" applyFont="1" applyFill="1" applyBorder="1" applyAlignment="1">
      <alignment horizontal="center" vertical="center"/>
    </xf>
    <xf numFmtId="0" fontId="17" fillId="10" borderId="15" xfId="0" applyFont="1" applyFill="1" applyBorder="1" applyAlignment="1">
      <alignment horizontal="center" vertical="center" wrapText="1"/>
    </xf>
    <xf numFmtId="0" fontId="22" fillId="10" borderId="13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22" fillId="10" borderId="10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 wrapText="1"/>
    </xf>
    <xf numFmtId="0" fontId="26" fillId="12" borderId="11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 wrapText="1"/>
    </xf>
    <xf numFmtId="0" fontId="22" fillId="10" borderId="1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2" fillId="8" borderId="7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16" fillId="0" borderId="0" xfId="0" applyFont="1" applyAlignment="1">
      <alignment vertical="top" wrapText="1"/>
    </xf>
    <xf numFmtId="1" fontId="5" fillId="4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13" fillId="0" borderId="0" xfId="0" applyFont="1"/>
    <xf numFmtId="2" fontId="5" fillId="4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2" fillId="16" borderId="15" xfId="0" applyFont="1" applyFill="1" applyBorder="1" applyAlignment="1">
      <alignment horizontal="center" vertical="center" wrapText="1"/>
    </xf>
    <xf numFmtId="0" fontId="32" fillId="16" borderId="24" xfId="0" applyFont="1" applyFill="1" applyBorder="1" applyAlignment="1">
      <alignment horizontal="center" vertical="center" wrapText="1"/>
    </xf>
    <xf numFmtId="0" fontId="38" fillId="16" borderId="13" xfId="0" applyFont="1" applyFill="1" applyBorder="1" applyAlignment="1">
      <alignment horizontal="center" vertical="center"/>
    </xf>
    <xf numFmtId="0" fontId="38" fillId="16" borderId="16" xfId="0" applyFont="1" applyFill="1" applyBorder="1" applyAlignment="1">
      <alignment horizontal="center" vertical="center"/>
    </xf>
    <xf numFmtId="0" fontId="43" fillId="16" borderId="14" xfId="0" applyFont="1" applyFill="1" applyBorder="1" applyAlignment="1">
      <alignment horizontal="center" vertical="center"/>
    </xf>
    <xf numFmtId="0" fontId="43" fillId="16" borderId="16" xfId="0" applyFont="1" applyFill="1" applyBorder="1" applyAlignment="1">
      <alignment horizontal="center" vertical="center"/>
    </xf>
    <xf numFmtId="1" fontId="33" fillId="16" borderId="14" xfId="0" applyNumberFormat="1" applyFont="1" applyFill="1" applyBorder="1" applyAlignment="1">
      <alignment horizontal="center" vertical="center"/>
    </xf>
    <xf numFmtId="1" fontId="33" fillId="16" borderId="16" xfId="0" applyNumberFormat="1" applyFont="1" applyFill="1" applyBorder="1" applyAlignment="1">
      <alignment horizontal="center" vertical="center"/>
    </xf>
    <xf numFmtId="2" fontId="42" fillId="16" borderId="14" xfId="0" applyNumberFormat="1" applyFont="1" applyFill="1" applyBorder="1" applyAlignment="1">
      <alignment horizontal="center" vertical="center"/>
    </xf>
    <xf numFmtId="2" fontId="42" fillId="16" borderId="16" xfId="0" applyNumberFormat="1" applyFont="1" applyFill="1" applyBorder="1" applyAlignment="1">
      <alignment horizontal="center" vertical="center"/>
    </xf>
    <xf numFmtId="2" fontId="42" fillId="16" borderId="7" xfId="0" applyNumberFormat="1" applyFont="1" applyFill="1" applyBorder="1" applyAlignment="1">
      <alignment horizontal="center" vertical="center"/>
    </xf>
    <xf numFmtId="0" fontId="50" fillId="0" borderId="23" xfId="0" applyFont="1" applyBorder="1" applyAlignment="1">
      <alignment horizontal="center" vertical="center" wrapText="1"/>
    </xf>
    <xf numFmtId="0" fontId="50" fillId="0" borderId="26" xfId="0" applyFont="1" applyBorder="1" applyAlignment="1">
      <alignment horizontal="center" vertical="center" wrapText="1"/>
    </xf>
    <xf numFmtId="0" fontId="50" fillId="0" borderId="35" xfId="0" applyFont="1" applyBorder="1" applyAlignment="1">
      <alignment horizontal="center" vertical="center" wrapText="1"/>
    </xf>
    <xf numFmtId="0" fontId="50" fillId="0" borderId="39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49" fillId="18" borderId="12" xfId="0" applyFont="1" applyFill="1" applyBorder="1" applyAlignment="1">
      <alignment horizontal="center" vertical="center" wrapText="1"/>
    </xf>
    <xf numFmtId="0" fontId="49" fillId="18" borderId="24" xfId="0" applyFont="1" applyFill="1" applyBorder="1" applyAlignment="1">
      <alignment horizontal="center" vertical="center" wrapText="1"/>
    </xf>
    <xf numFmtId="0" fontId="49" fillId="18" borderId="6" xfId="0" applyFont="1" applyFill="1" applyBorder="1" applyAlignment="1">
      <alignment horizontal="center" vertical="center" wrapText="1"/>
    </xf>
    <xf numFmtId="0" fontId="45" fillId="18" borderId="13" xfId="0" applyFont="1" applyFill="1" applyBorder="1" applyAlignment="1">
      <alignment horizontal="center" vertical="center"/>
    </xf>
    <xf numFmtId="0" fontId="45" fillId="18" borderId="16" xfId="0" applyFont="1" applyFill="1" applyBorder="1" applyAlignment="1">
      <alignment horizontal="center" vertical="center"/>
    </xf>
    <xf numFmtId="0" fontId="40" fillId="18" borderId="13" xfId="0" applyFont="1" applyFill="1" applyBorder="1" applyAlignment="1">
      <alignment horizontal="center" vertical="center"/>
    </xf>
    <xf numFmtId="0" fontId="40" fillId="18" borderId="16" xfId="0" applyFont="1" applyFill="1" applyBorder="1" applyAlignment="1">
      <alignment horizontal="center" vertical="center"/>
    </xf>
    <xf numFmtId="0" fontId="40" fillId="18" borderId="28" xfId="0" applyFont="1" applyFill="1" applyBorder="1" applyAlignment="1">
      <alignment horizontal="center" vertical="center"/>
    </xf>
    <xf numFmtId="1" fontId="42" fillId="18" borderId="13" xfId="0" applyNumberFormat="1" applyFont="1" applyFill="1" applyBorder="1" applyAlignment="1">
      <alignment horizontal="center" vertical="center"/>
    </xf>
    <xf numFmtId="1" fontId="42" fillId="18" borderId="16" xfId="0" applyNumberFormat="1" applyFont="1" applyFill="1" applyBorder="1" applyAlignment="1">
      <alignment horizontal="center" vertical="center"/>
    </xf>
    <xf numFmtId="2" fontId="42" fillId="18" borderId="14" xfId="0" applyNumberFormat="1" applyFont="1" applyFill="1" applyBorder="1" applyAlignment="1">
      <alignment horizontal="center" vertical="center"/>
    </xf>
    <xf numFmtId="2" fontId="42" fillId="18" borderId="16" xfId="0" applyNumberFormat="1" applyFont="1" applyFill="1" applyBorder="1" applyAlignment="1">
      <alignment horizontal="center" vertical="center"/>
    </xf>
    <xf numFmtId="2" fontId="42" fillId="18" borderId="7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36" fillId="16" borderId="12" xfId="0" applyFont="1" applyFill="1" applyBorder="1" applyAlignment="1">
      <alignment horizontal="center" vertical="center" wrapText="1"/>
    </xf>
    <xf numFmtId="0" fontId="36" fillId="16" borderId="24" xfId="0" applyFont="1" applyFill="1" applyBorder="1" applyAlignment="1">
      <alignment horizontal="center" vertical="center" wrapText="1"/>
    </xf>
    <xf numFmtId="0" fontId="38" fillId="16" borderId="13" xfId="0" applyFont="1" applyFill="1" applyBorder="1" applyAlignment="1">
      <alignment horizontal="center" vertical="center" wrapText="1"/>
    </xf>
    <xf numFmtId="0" fontId="38" fillId="16" borderId="16" xfId="0" applyFont="1" applyFill="1" applyBorder="1" applyAlignment="1">
      <alignment horizontal="center" vertical="center" wrapText="1"/>
    </xf>
    <xf numFmtId="0" fontId="40" fillId="16" borderId="13" xfId="0" applyFont="1" applyFill="1" applyBorder="1" applyAlignment="1">
      <alignment horizontal="center" vertical="center"/>
    </xf>
    <xf numFmtId="0" fontId="40" fillId="16" borderId="16" xfId="0" applyFont="1" applyFill="1" applyBorder="1" applyAlignment="1">
      <alignment horizontal="center" vertical="center"/>
    </xf>
    <xf numFmtId="1" fontId="41" fillId="16" borderId="13" xfId="0" applyNumberFormat="1" applyFont="1" applyFill="1" applyBorder="1" applyAlignment="1">
      <alignment horizontal="center" vertical="center"/>
    </xf>
    <xf numFmtId="1" fontId="41" fillId="16" borderId="16" xfId="0" applyNumberFormat="1" applyFont="1" applyFill="1" applyBorder="1" applyAlignment="1">
      <alignment horizontal="center" vertical="center"/>
    </xf>
    <xf numFmtId="0" fontId="36" fillId="18" borderId="12" xfId="0" applyFont="1" applyFill="1" applyBorder="1" applyAlignment="1">
      <alignment horizontal="center" vertical="center" wrapText="1"/>
    </xf>
    <xf numFmtId="0" fontId="36" fillId="18" borderId="24" xfId="0" applyFont="1" applyFill="1" applyBorder="1" applyAlignment="1">
      <alignment horizontal="center" vertical="center" wrapText="1"/>
    </xf>
    <xf numFmtId="0" fontId="36" fillId="18" borderId="6" xfId="0" applyFont="1" applyFill="1" applyBorder="1" applyAlignment="1">
      <alignment horizontal="center" vertical="center" wrapText="1"/>
    </xf>
    <xf numFmtId="0" fontId="45" fillId="18" borderId="28" xfId="0" applyFont="1" applyFill="1" applyBorder="1" applyAlignment="1">
      <alignment horizontal="center" vertical="center"/>
    </xf>
    <xf numFmtId="1" fontId="42" fillId="18" borderId="28" xfId="0" applyNumberFormat="1" applyFont="1" applyFill="1" applyBorder="1" applyAlignment="1">
      <alignment horizontal="center" vertical="center"/>
    </xf>
    <xf numFmtId="0" fontId="36" fillId="16" borderId="6" xfId="0" applyFont="1" applyFill="1" applyBorder="1" applyAlignment="1">
      <alignment horizontal="center" vertical="center" wrapText="1"/>
    </xf>
    <xf numFmtId="0" fontId="38" fillId="16" borderId="7" xfId="0" applyFont="1" applyFill="1" applyBorder="1" applyAlignment="1">
      <alignment horizontal="center" vertical="center"/>
    </xf>
    <xf numFmtId="0" fontId="43" fillId="16" borderId="13" xfId="0" applyFont="1" applyFill="1" applyBorder="1" applyAlignment="1">
      <alignment horizontal="center" vertical="center"/>
    </xf>
    <xf numFmtId="0" fontId="43" fillId="16" borderId="28" xfId="0" applyFont="1" applyFill="1" applyBorder="1" applyAlignment="1">
      <alignment horizontal="center" vertical="center"/>
    </xf>
    <xf numFmtId="1" fontId="33" fillId="16" borderId="13" xfId="0" applyNumberFormat="1" applyFont="1" applyFill="1" applyBorder="1" applyAlignment="1">
      <alignment horizontal="center" vertical="center"/>
    </xf>
    <xf numFmtId="1" fontId="33" fillId="16" borderId="28" xfId="0" applyNumberFormat="1" applyFont="1" applyFill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 wrapText="1"/>
    </xf>
    <xf numFmtId="0" fontId="43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color rgb="FFB00020"/>
        <name val="Times New Roman"/>
        <charset val="1"/>
      </font>
      <fill>
        <patternFill>
          <bgColor rgb="FFFCE4E4"/>
        </patternFill>
      </fill>
    </dxf>
    <dxf>
      <font>
        <b/>
        <color rgb="FF1E7145"/>
        <name val="Times New Roman"/>
        <charset val="1"/>
      </font>
      <fill>
        <patternFill>
          <bgColor rgb="FFE2F0D9"/>
        </patternFill>
      </fill>
    </dxf>
    <dxf>
      <font>
        <b/>
        <color rgb="FF1E7145"/>
        <name val="Times New Roman"/>
        <charset val="1"/>
      </font>
      <fill>
        <patternFill>
          <bgColor rgb="FFE2F0D9"/>
        </patternFill>
      </fill>
    </dxf>
    <dxf>
      <font>
        <b/>
        <color rgb="FFB00020"/>
        <name val="Times New Roman"/>
        <charset val="1"/>
      </font>
      <fill>
        <patternFill>
          <bgColor rgb="FFFCE4E4"/>
        </patternFill>
      </fill>
    </dxf>
    <dxf>
      <font>
        <b/>
        <sz val="18"/>
        <color rgb="FF1E7145"/>
        <name val="Times New Roman"/>
        <charset val="1"/>
      </font>
      <fill>
        <patternFill>
          <bgColor rgb="FFE2F0D9"/>
        </patternFill>
      </fill>
    </dxf>
    <dxf>
      <font>
        <b/>
        <sz val="18"/>
        <color rgb="FFB00020"/>
        <name val="Times New Roman"/>
        <charset val="1"/>
      </font>
      <fill>
        <patternFill>
          <bgColor rgb="FFFCE4E4"/>
        </patternFill>
      </fill>
    </dxf>
    <dxf>
      <font>
        <b/>
        <sz val="18"/>
        <color rgb="FF1E7145"/>
        <name val="Times New Roman"/>
        <charset val="1"/>
      </font>
      <fill>
        <patternFill>
          <bgColor rgb="FFE2F0D9"/>
        </patternFill>
      </fill>
    </dxf>
    <dxf>
      <font>
        <b/>
        <sz val="18"/>
        <color rgb="FFB00020"/>
        <name val="Times New Roman"/>
        <charset val="1"/>
      </font>
      <fill>
        <patternFill>
          <bgColor rgb="FFFCE4E4"/>
        </patternFill>
      </fill>
    </dxf>
    <dxf>
      <font>
        <b/>
        <color rgb="FFB00020"/>
        <name val="Times New Roman"/>
        <charset val="1"/>
      </font>
    </dxf>
    <dxf>
      <font>
        <b/>
        <color rgb="FF1E7145"/>
        <name val="Times New Roman"/>
        <charset val="1"/>
      </font>
    </dxf>
    <dxf>
      <font>
        <b/>
        <color rgb="FFB00020"/>
        <name val="Times New Roman"/>
        <charset val="1"/>
      </font>
      <fill>
        <patternFill>
          <bgColor rgb="FFFCE4E4"/>
        </patternFill>
      </fill>
    </dxf>
    <dxf>
      <font>
        <b/>
        <color rgb="FF1E7145"/>
        <name val="Times New Roman"/>
        <charset val="1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1E7145"/>
      <rgbColor rgb="FFB7B7B7"/>
      <rgbColor rgb="FF808080"/>
      <rgbColor rgb="FF9DC3E6"/>
      <rgbColor rgb="FF993366"/>
      <rgbColor rgb="FFF2F2F2"/>
      <rgbColor rgb="FFDCEAF7"/>
      <rgbColor rgb="FF660066"/>
      <rgbColor rgb="FFFF8080"/>
      <rgbColor rgb="FF0066CC"/>
      <rgbColor rgb="FFB8D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E8E8E8"/>
      <rgbColor rgb="FFA6CAEC"/>
      <rgbColor rgb="FFFF99CC"/>
      <rgbColor rgb="FFD9D9D9"/>
      <rgbColor rgb="FFFCE4E4"/>
      <rgbColor rgb="FF3366FF"/>
      <rgbColor rgb="FF33CCCC"/>
      <rgbColor rgb="FF99CC00"/>
      <rgbColor rgb="FFFFC000"/>
      <rgbColor rgb="FFBF8F00"/>
      <rgbColor rgb="FFFF6600"/>
      <rgbColor rgb="FF595959"/>
      <rgbColor rgb="FFB3B3B3"/>
      <rgbColor rgb="FF1F3864"/>
      <rgbColor rgb="FF00B050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Variable Cost by TPS — Current vs. Post-Diversion (Rs/Unit)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Dashboard!$E$10</c:f>
              <c:strCache>
                <c:ptCount val="1"/>
                <c:pt idx="0">
                  <c:v>VC — Current (Rs/Unit)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Harduaganj (2X250 MW)</c:v>
                </c:pt>
                <c:pt idx="1">
                  <c:v>Harduaganj (1X660 MW)</c:v>
                </c:pt>
                <c:pt idx="2">
                  <c:v>Parichha</c:v>
                </c:pt>
                <c:pt idx="3">
                  <c:v>Panki</c:v>
                </c:pt>
                <c:pt idx="4">
                  <c:v>Jawaharpur*</c:v>
                </c:pt>
              </c:strCache>
            </c:strRef>
          </c:cat>
          <c:val>
            <c:numRef>
              <c:f>Dashboard!$E$11:$E$15</c:f>
              <c:numCache>
                <c:formatCode>0.00</c:formatCode>
                <c:ptCount val="5"/>
                <c:pt idx="0">
                  <c:v>4.1933333333333334</c:v>
                </c:pt>
                <c:pt idx="1">
                  <c:v>4.0200000000000005</c:v>
                </c:pt>
                <c:pt idx="2">
                  <c:v>3.83</c:v>
                </c:pt>
                <c:pt idx="3">
                  <c:v>3.31</c:v>
                </c:pt>
                <c:pt idx="4">
                  <c:v>4.4312500000000004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A-4F90-86F5-DB842D729D4E}"/>
            </c:ext>
          </c:extLst>
        </c:ser>
        <c:ser>
          <c:idx val="1"/>
          <c:order val="1"/>
          <c:tx>
            <c:strRef>
              <c:f>Dashboard!$F$10</c:f>
              <c:strCache>
                <c:ptCount val="1"/>
                <c:pt idx="0">
                  <c:v>VC — Diverted (Rs/Unit)</c:v>
                </c:pt>
              </c:strCache>
            </c:strRef>
          </c:tx>
          <c:spPr>
            <a:solidFill>
              <a:srgbClr val="1E714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Harduaganj (2X250 MW)</c:v>
                </c:pt>
                <c:pt idx="1">
                  <c:v>Harduaganj (1X660 MW)</c:v>
                </c:pt>
                <c:pt idx="2">
                  <c:v>Parichha</c:v>
                </c:pt>
                <c:pt idx="3">
                  <c:v>Panki</c:v>
                </c:pt>
                <c:pt idx="4">
                  <c:v>Jawaharpur*</c:v>
                </c:pt>
              </c:strCache>
            </c:strRef>
          </c:cat>
          <c:val>
            <c:numRef>
              <c:f>Dashboard!$F$11:$F$15</c:f>
              <c:numCache>
                <c:formatCode>0.00</c:formatCode>
                <c:ptCount val="5"/>
                <c:pt idx="0">
                  <c:v>4.130598710718477</c:v>
                </c:pt>
                <c:pt idx="1">
                  <c:v>3.9900000696610678</c:v>
                </c:pt>
                <c:pt idx="2">
                  <c:v>3.9899999999999998</c:v>
                </c:pt>
                <c:pt idx="3">
                  <c:v>3.6963636363636363</c:v>
                </c:pt>
                <c:pt idx="4">
                  <c:v>3.9899999569412303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A-4F90-86F5-DB842D729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259759"/>
        <c:axId val="30113507"/>
      </c:barChart>
      <c:lineChart>
        <c:grouping val="standard"/>
        <c:varyColors val="0"/>
        <c:ser>
          <c:idx val="2"/>
          <c:order val="2"/>
          <c:tx>
            <c:strRef>
              <c:f>Dashboard!$H$10</c:f>
              <c:strCache>
                <c:ptCount val="1"/>
                <c:pt idx="0">
                  <c:v>Target VC</c:v>
                </c:pt>
              </c:strCache>
            </c:strRef>
          </c:tx>
          <c:spPr>
            <a:ln w="20160">
              <a:solidFill>
                <a:srgbClr val="B0002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Harduaganj (2X250 MW)</c:v>
                </c:pt>
                <c:pt idx="1">
                  <c:v>Harduaganj (1X660 MW)</c:v>
                </c:pt>
                <c:pt idx="2">
                  <c:v>Parichha</c:v>
                </c:pt>
                <c:pt idx="3">
                  <c:v>Panki</c:v>
                </c:pt>
                <c:pt idx="4">
                  <c:v>Jawaharpur*</c:v>
                </c:pt>
              </c:strCache>
            </c:strRef>
          </c:cat>
          <c:val>
            <c:numRef>
              <c:f>Dashboard!$H$11:$H$15</c:f>
              <c:numCache>
                <c:formatCode>0.00</c:formatCode>
                <c:ptCount val="5"/>
                <c:pt idx="0">
                  <c:v>3.99</c:v>
                </c:pt>
                <c:pt idx="1">
                  <c:v>3.99</c:v>
                </c:pt>
                <c:pt idx="2">
                  <c:v>3.99</c:v>
                </c:pt>
                <c:pt idx="3">
                  <c:v>3.99</c:v>
                </c:pt>
                <c:pt idx="4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9A-4F90-86F5-DB842D729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0259759"/>
        <c:axId val="30113507"/>
      </c:lineChart>
      <c:catAx>
        <c:axId val="802597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0113507"/>
        <c:crosses val="autoZero"/>
        <c:auto val="1"/>
        <c:lblAlgn val="ctr"/>
        <c:lblOffset val="100"/>
        <c:noMultiLvlLbl val="0"/>
      </c:catAx>
      <c:valAx>
        <c:axId val="301135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Rs / Unit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02597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Rake Allocation by TPS — Current vs. Diverted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Rakes — Current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Harduaganj (2X250 MW)</c:v>
                </c:pt>
                <c:pt idx="1">
                  <c:v>Harduaganj (1X660 MW)</c:v>
                </c:pt>
                <c:pt idx="2">
                  <c:v>Parichha</c:v>
                </c:pt>
                <c:pt idx="3">
                  <c:v>Panki</c:v>
                </c:pt>
                <c:pt idx="4">
                  <c:v>Jawaharpur*</c:v>
                </c:pt>
              </c:strCache>
            </c:strRef>
          </c:cat>
          <c:val>
            <c:numRef>
              <c:f>Dashboard!$B$11:$B$15</c:f>
              <c:numCache>
                <c:formatCode>0</c:formatCode>
                <c:ptCount val="5"/>
                <c:pt idx="0">
                  <c:v>60</c:v>
                </c:pt>
                <c:pt idx="1">
                  <c:v>65</c:v>
                </c:pt>
                <c:pt idx="2">
                  <c:v>85</c:v>
                </c:pt>
                <c:pt idx="3">
                  <c:v>60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5-47B8-ACA7-7F940B359898}"/>
            </c:ext>
          </c:extLst>
        </c:ser>
        <c:ser>
          <c:idx val="1"/>
          <c:order val="1"/>
          <c:tx>
            <c:strRef>
              <c:f>Dashboard!$C$10</c:f>
              <c:strCache>
                <c:ptCount val="1"/>
                <c:pt idx="0">
                  <c:v>Rakes — Diverted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Harduaganj (2X250 MW)</c:v>
                </c:pt>
                <c:pt idx="1">
                  <c:v>Harduaganj (1X660 MW)</c:v>
                </c:pt>
                <c:pt idx="2">
                  <c:v>Parichha</c:v>
                </c:pt>
                <c:pt idx="3">
                  <c:v>Panki</c:v>
                </c:pt>
                <c:pt idx="4">
                  <c:v>Jawaharpur*</c:v>
                </c:pt>
              </c:strCache>
            </c:strRef>
          </c:cat>
          <c:val>
            <c:numRef>
              <c:f>Dashboard!$C$11:$C$15</c:f>
              <c:numCache>
                <c:formatCode>0</c:formatCode>
                <c:ptCount val="5"/>
                <c:pt idx="0">
                  <c:v>65.044527470422793</c:v>
                </c:pt>
                <c:pt idx="1">
                  <c:v>71.500000999999997</c:v>
                </c:pt>
                <c:pt idx="2">
                  <c:v>68</c:v>
                </c:pt>
                <c:pt idx="3">
                  <c:v>66</c:v>
                </c:pt>
                <c:pt idx="4">
                  <c:v>119.45547152957721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5-47B8-ACA7-7F940B359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25538"/>
        <c:axId val="11961690"/>
      </c:barChart>
      <c:catAx>
        <c:axId val="421255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1961690"/>
        <c:crosses val="autoZero"/>
        <c:auto val="1"/>
        <c:lblAlgn val="ctr"/>
        <c:lblOffset val="100"/>
        <c:noMultiLvlLbl val="0"/>
      </c:catAx>
      <c:valAx>
        <c:axId val="119616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No. of Rakes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2125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14</xdr:col>
      <xdr:colOff>931290</xdr:colOff>
      <xdr:row>22</xdr:row>
      <xdr:rowOff>144720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14</xdr:col>
      <xdr:colOff>931290</xdr:colOff>
      <xdr:row>40</xdr:row>
      <xdr:rowOff>163800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R35"/>
  <sheetViews>
    <sheetView showGridLines="0" topLeftCell="A7" zoomScaleNormal="100" workbookViewId="0">
      <selection activeCell="C30" sqref="C30"/>
    </sheetView>
  </sheetViews>
  <sheetFormatPr defaultColWidth="8.5703125" defaultRowHeight="15" x14ac:dyDescent="0.25"/>
  <cols>
    <col min="1" max="1" width="22" customWidth="1"/>
    <col min="2" max="8" width="16" customWidth="1"/>
    <col min="9" max="9" width="18.140625" customWidth="1"/>
    <col min="10" max="10" width="18" customWidth="1"/>
    <col min="11" max="15" width="14" customWidth="1"/>
    <col min="16" max="16" width="2" customWidth="1"/>
    <col min="17" max="17" width="20" customWidth="1"/>
    <col min="18" max="18" width="14" customWidth="1"/>
  </cols>
  <sheetData>
    <row r="1" spans="1:18" ht="19.5" customHeight="1" x14ac:dyDescent="0.25">
      <c r="A1" s="229" t="s">
        <v>0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</row>
    <row r="2" spans="1:18" ht="19.5" customHeight="1" x14ac:dyDescent="0.25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</row>
    <row r="3" spans="1:18" ht="18" customHeight="1" x14ac:dyDescent="0.25">
      <c r="A3" s="230" t="s">
        <v>1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</row>
    <row r="5" spans="1:18" ht="25.5" customHeight="1" x14ac:dyDescent="0.25">
      <c r="A5" s="231" t="s">
        <v>2</v>
      </c>
      <c r="B5" s="231"/>
      <c r="C5" s="231" t="s">
        <v>3</v>
      </c>
      <c r="D5" s="231"/>
      <c r="E5" s="232" t="s">
        <v>4</v>
      </c>
      <c r="F5" s="232"/>
      <c r="G5" s="231" t="s">
        <v>5</v>
      </c>
      <c r="H5" s="231"/>
      <c r="J5" s="231" t="s">
        <v>6</v>
      </c>
      <c r="K5" s="231"/>
      <c r="L5" s="231" t="s">
        <v>7</v>
      </c>
      <c r="M5" s="231"/>
    </row>
    <row r="6" spans="1:18" ht="30" customHeight="1" x14ac:dyDescent="0.25">
      <c r="A6" s="224">
        <f>'July 2026 (3)'!F30</f>
        <v>390</v>
      </c>
      <c r="B6" s="224"/>
      <c r="C6" s="227">
        <f>(SUMPRODUCT('July 2026 (3)'!D9,'July 2026 (3)'!E9)+SUMPRODUCT('July 2026 (3)'!D14,'July 2026 (3)'!E14)+SUMPRODUCT('July 2026 (3)'!D18,'July 2026 (3)'!E18)+SUMPRODUCT('July 2026 (3)'!D23,'July 2026 (3)'!E23)+SUMPRODUCT('July 2026 (3)'!D29,'July 2026 (3)'!E29))/'July 2026 (3)'!D30</f>
        <v>4.0225641025641021</v>
      </c>
      <c r="D6" s="227"/>
      <c r="E6" s="228">
        <f>'July 2026 (3)'!I15</f>
        <v>3.9637568629199871</v>
      </c>
      <c r="F6" s="228"/>
      <c r="G6" s="227">
        <f>'July 2026 (3)'!I9</f>
        <v>4.130598710718477</v>
      </c>
      <c r="H6" s="227"/>
      <c r="J6" s="227">
        <f>'July 2026 (3)'!O17</f>
        <v>3.99</v>
      </c>
      <c r="K6" s="227"/>
      <c r="L6" s="224">
        <f>'July 2026 (3)'!O22</f>
        <v>18</v>
      </c>
      <c r="M6" s="224"/>
    </row>
    <row r="9" spans="1:18" ht="19.5" customHeight="1" x14ac:dyDescent="0.25">
      <c r="A9" s="225" t="s">
        <v>8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</row>
    <row r="10" spans="1:18" ht="30" customHeight="1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1:18" ht="15" customHeight="1" x14ac:dyDescent="0.25">
      <c r="A11" s="3" t="s">
        <v>18</v>
      </c>
      <c r="B11" s="4">
        <f>'July 2026 (3)'!D9</f>
        <v>60</v>
      </c>
      <c r="C11" s="4">
        <f>'July 2026 (3)'!F9</f>
        <v>65.044527470422793</v>
      </c>
      <c r="D11" s="5">
        <f t="shared" ref="D11:D16" si="0">C11-B11</f>
        <v>5.0445274704227927</v>
      </c>
      <c r="E11" s="6">
        <f>'July 2026 (3)'!E9</f>
        <v>4.1933333333333334</v>
      </c>
      <c r="F11" s="6">
        <f>'July 2026 (3)'!G9</f>
        <v>4.130598710718477</v>
      </c>
      <c r="G11" s="7">
        <f t="shared" ref="G11:G16" si="1">F11-E11</f>
        <v>-6.2734622614856406E-2</v>
      </c>
      <c r="H11" s="6">
        <f>'July 2026 (3)'!$O$17</f>
        <v>3.99</v>
      </c>
      <c r="I11" s="8" t="str">
        <f>IF(F11&lt;=H11,"Within Target","Above Target")</f>
        <v>Above Target</v>
      </c>
    </row>
    <row r="12" spans="1:18" ht="15" customHeight="1" x14ac:dyDescent="0.25">
      <c r="A12" s="9" t="s">
        <v>19</v>
      </c>
      <c r="B12" s="10">
        <f>'July 2026 (3)'!D14</f>
        <v>65</v>
      </c>
      <c r="C12" s="10">
        <f>'July 2026 (3)'!F14</f>
        <v>71.500000999999997</v>
      </c>
      <c r="D12" s="11">
        <f t="shared" si="0"/>
        <v>6.5000009999999975</v>
      </c>
      <c r="E12" s="12">
        <f>'July 2026 (3)'!E14</f>
        <v>4.0200000000000005</v>
      </c>
      <c r="F12" s="12">
        <f>'July 2026 (3)'!G14</f>
        <v>3.9900000696610678</v>
      </c>
      <c r="G12" s="13">
        <f t="shared" si="1"/>
        <v>-2.9999930338932668E-2</v>
      </c>
      <c r="H12" s="12">
        <f>'July 2026 (3)'!$O$17</f>
        <v>3.99</v>
      </c>
      <c r="I12" s="14" t="str">
        <f>IF(F12&lt;=H12,"Within Target","Above Target")</f>
        <v>Above Target</v>
      </c>
    </row>
    <row r="13" spans="1:18" ht="15" customHeight="1" x14ac:dyDescent="0.25">
      <c r="A13" s="3" t="s">
        <v>20</v>
      </c>
      <c r="B13" s="4">
        <f>'July 2026 (3)'!D18</f>
        <v>85</v>
      </c>
      <c r="C13" s="4">
        <f>'July 2026 (3)'!F18</f>
        <v>68</v>
      </c>
      <c r="D13" s="5">
        <f t="shared" si="0"/>
        <v>-17</v>
      </c>
      <c r="E13" s="6">
        <f>'July 2026 (3)'!E18</f>
        <v>3.83</v>
      </c>
      <c r="F13" s="6">
        <f>'July 2026 (3)'!G18</f>
        <v>3.9899999999999998</v>
      </c>
      <c r="G13" s="7">
        <f t="shared" si="1"/>
        <v>0.1599999999999997</v>
      </c>
      <c r="H13" s="6">
        <f>'July 2026 (3)'!$O$17</f>
        <v>3.99</v>
      </c>
      <c r="I13" s="8" t="str">
        <f>IF(F13&lt;=H13,"Within Target","Above Target")</f>
        <v>Within Target</v>
      </c>
    </row>
    <row r="14" spans="1:18" ht="15" customHeight="1" x14ac:dyDescent="0.25">
      <c r="A14" s="9" t="s">
        <v>21</v>
      </c>
      <c r="B14" s="10">
        <f>'July 2026 (3)'!D23</f>
        <v>60</v>
      </c>
      <c r="C14" s="10">
        <f>'July 2026 (3)'!F23</f>
        <v>66</v>
      </c>
      <c r="D14" s="11">
        <f t="shared" si="0"/>
        <v>6</v>
      </c>
      <c r="E14" s="12">
        <f>'July 2026 (3)'!E23</f>
        <v>3.31</v>
      </c>
      <c r="F14" s="12">
        <f>'July 2026 (3)'!G23</f>
        <v>3.6963636363636363</v>
      </c>
      <c r="G14" s="13">
        <f t="shared" si="1"/>
        <v>0.38636363636363624</v>
      </c>
      <c r="H14" s="12">
        <f>'July 2026 (3)'!$O$17</f>
        <v>3.99</v>
      </c>
      <c r="I14" s="14" t="str">
        <f>IF(F14&lt;=H14,"Within Target","Above Target")</f>
        <v>Within Target</v>
      </c>
    </row>
    <row r="15" spans="1:18" ht="15" customHeight="1" x14ac:dyDescent="0.25">
      <c r="A15" s="3" t="s">
        <v>22</v>
      </c>
      <c r="B15" s="4">
        <f>'July 2026 (3)'!D29</f>
        <v>120</v>
      </c>
      <c r="C15" s="4">
        <f>'July 2026 (3)'!F29</f>
        <v>119.45547152957721</v>
      </c>
      <c r="D15" s="5">
        <f t="shared" si="0"/>
        <v>-0.54452847042279018</v>
      </c>
      <c r="E15" s="6">
        <f>'July 2026 (3)'!E29</f>
        <v>4.4312500000000004</v>
      </c>
      <c r="F15" s="6">
        <f>'July 2026 (3)'!G29</f>
        <v>3.9899999569412303</v>
      </c>
      <c r="G15" s="7">
        <f t="shared" si="1"/>
        <v>-0.44125004305877003</v>
      </c>
      <c r="H15" s="6">
        <f>'July 2026 (3)'!$O$17</f>
        <v>3.99</v>
      </c>
      <c r="I15" s="8" t="str">
        <f>IF(F15&lt;=H15,"Within Target","Above Target")</f>
        <v>Within Target</v>
      </c>
    </row>
    <row r="16" spans="1:18" ht="15" customHeight="1" x14ac:dyDescent="0.25">
      <c r="A16" s="15" t="s">
        <v>23</v>
      </c>
      <c r="B16" s="16">
        <f>SUM(B11:B15)</f>
        <v>390</v>
      </c>
      <c r="C16" s="16">
        <f>SUM(C11:C15)</f>
        <v>390</v>
      </c>
      <c r="D16" s="17">
        <f t="shared" si="0"/>
        <v>0</v>
      </c>
      <c r="E16" s="18">
        <f>SUMPRODUCT(B11:B15,E11:E15)/B16</f>
        <v>4.0225641025641021</v>
      </c>
      <c r="F16" s="18">
        <f>SUMPRODUCT(C11:C15,F11:F15)/C16</f>
        <v>3.9637568629199871</v>
      </c>
      <c r="G16" s="19">
        <f t="shared" si="1"/>
        <v>-5.880723964411505E-2</v>
      </c>
    </row>
    <row r="18" spans="1:9" ht="19.5" customHeight="1" x14ac:dyDescent="0.25">
      <c r="A18" s="225" t="s">
        <v>24</v>
      </c>
      <c r="B18" s="225"/>
      <c r="C18" s="225"/>
      <c r="D18" s="225"/>
      <c r="E18" s="225"/>
      <c r="F18" s="225"/>
      <c r="G18" s="225"/>
      <c r="H18" s="225"/>
      <c r="I18" s="225"/>
    </row>
    <row r="19" spans="1:9" ht="30" customHeight="1" x14ac:dyDescent="0.25">
      <c r="A19" s="20" t="s">
        <v>25</v>
      </c>
      <c r="B19" s="21" t="s">
        <v>26</v>
      </c>
      <c r="C19" s="21" t="s">
        <v>27</v>
      </c>
      <c r="D19" s="21" t="s">
        <v>20</v>
      </c>
      <c r="E19" s="21" t="s">
        <v>21</v>
      </c>
      <c r="F19" s="21" t="s">
        <v>22</v>
      </c>
      <c r="G19" s="21" t="s">
        <v>28</v>
      </c>
      <c r="H19" s="21" t="s">
        <v>29</v>
      </c>
      <c r="I19" s="21" t="s">
        <v>30</v>
      </c>
    </row>
    <row r="20" spans="1:9" ht="15" customHeight="1" x14ac:dyDescent="0.25">
      <c r="A20" s="22" t="s">
        <v>31</v>
      </c>
      <c r="B20" s="8" t="s">
        <v>32</v>
      </c>
      <c r="C20" s="5">
        <f>'July 2026 (3)'!F12-'July 2026 (3)'!D12</f>
        <v>-9.9999999997324451E-7</v>
      </c>
      <c r="D20" s="5">
        <f>'July 2026 (3)'!F15-'July 2026 (3)'!D15</f>
        <v>-35.471698113207538</v>
      </c>
      <c r="E20" s="5">
        <f>'July 2026 (3)'!F22-'July 2026 (3)'!D22</f>
        <v>0</v>
      </c>
      <c r="F20" s="5">
        <f>'July 2026 (3)'!F27-'July 2026 (3)'!D27</f>
        <v>35.471699113207535</v>
      </c>
      <c r="G20" s="4">
        <f>'July 2026 (3)'!D31</f>
        <v>60</v>
      </c>
      <c r="H20" s="4">
        <f>'July 2026 (3)'!F31</f>
        <v>60</v>
      </c>
      <c r="I20" s="8" t="str">
        <f>IF(G20=H20,"Yes","No")</f>
        <v>Yes</v>
      </c>
    </row>
    <row r="21" spans="1:9" ht="15" customHeight="1" x14ac:dyDescent="0.25">
      <c r="A21" s="22" t="s">
        <v>33</v>
      </c>
      <c r="B21" s="5">
        <f>'July 2026 (3)'!F7-'July 2026 (3)'!D7</f>
        <v>-2.9554725295772002</v>
      </c>
      <c r="C21" s="5">
        <f>'July 2026 (3)'!F13-'July 2026 (3)'!D13</f>
        <v>-0.42566967463999994</v>
      </c>
      <c r="D21" s="5">
        <f>'July 2026 (3)'!F17-'July 2026 (3)'!D17</f>
        <v>13.471698113207543</v>
      </c>
      <c r="E21" s="5">
        <f>'July 2026 (3)'!F20-'July 2026 (3)'!D20</f>
        <v>25</v>
      </c>
      <c r="F21" s="5">
        <f>'July 2026 (3)'!F25-'July 2026 (3)'!D25</f>
        <v>-35.090555908990339</v>
      </c>
      <c r="G21" s="4">
        <f>'July 2026 (3)'!D32</f>
        <v>110</v>
      </c>
      <c r="H21" s="4">
        <f>'July 2026 (3)'!F32</f>
        <v>110</v>
      </c>
      <c r="I21" s="8" t="str">
        <f>IF(G21=H21,"Yes","No")</f>
        <v>Yes</v>
      </c>
    </row>
    <row r="22" spans="1:9" ht="15" customHeight="1" x14ac:dyDescent="0.25">
      <c r="A22" s="22" t="s">
        <v>34</v>
      </c>
      <c r="B22" s="5">
        <f>'July 2026 (3)'!F8-'July 2026 (3)'!D8</f>
        <v>8</v>
      </c>
      <c r="C22" s="5">
        <f>'July 2026 (3)'!F10-'July 2026 (3)'!D10</f>
        <v>6</v>
      </c>
      <c r="D22" s="5">
        <f>'July 2026 (3)'!F16-'July 2026 (3)'!D16</f>
        <v>5</v>
      </c>
      <c r="E22" s="5">
        <f>'July 2026 (3)'!F19-'July 2026 (3)'!D19</f>
        <v>-19</v>
      </c>
      <c r="F22" s="5">
        <f>'July 2026 (3)'!F24-'July 2026 (3)'!D24</f>
        <v>-7.1054273576010019E-15</v>
      </c>
      <c r="G22" s="4">
        <f>'July 2026 (3)'!D33</f>
        <v>155</v>
      </c>
      <c r="H22" s="4">
        <f>'July 2026 (3)'!F33</f>
        <v>155</v>
      </c>
      <c r="I22" s="8" t="str">
        <f>IF(G22=H22,"Yes","No")</f>
        <v>Yes</v>
      </c>
    </row>
    <row r="23" spans="1:9" ht="15" customHeight="1" x14ac:dyDescent="0.25">
      <c r="A23" s="22" t="s">
        <v>35</v>
      </c>
      <c r="B23" s="8" t="s">
        <v>32</v>
      </c>
      <c r="C23" s="5">
        <f>'July 2026 (3)'!F11-'July 2026 (3)'!D11</f>
        <v>0.92567167463999311</v>
      </c>
      <c r="D23" s="8" t="s">
        <v>32</v>
      </c>
      <c r="E23" s="5">
        <f>'July 2026 (3)'!F21-'July 2026 (3)'!D21</f>
        <v>0</v>
      </c>
      <c r="F23" s="5">
        <f>'July 2026 (3)'!F26-'July 2026 (3)'!D26</f>
        <v>-0.92567167463998601</v>
      </c>
      <c r="G23" s="4">
        <f>'July 2026 (3)'!D34</f>
        <v>65</v>
      </c>
      <c r="H23" s="4">
        <f>'July 2026 (3)'!F34</f>
        <v>65</v>
      </c>
      <c r="I23" s="8" t="str">
        <f>IF(G23=H23,"Yes","No")</f>
        <v>Yes</v>
      </c>
    </row>
    <row r="24" spans="1:9" ht="15" customHeight="1" x14ac:dyDescent="0.25">
      <c r="A24" s="22" t="s">
        <v>36</v>
      </c>
      <c r="B24" s="8" t="s">
        <v>32</v>
      </c>
      <c r="C24" s="8" t="s">
        <v>32</v>
      </c>
      <c r="D24" s="8" t="s">
        <v>32</v>
      </c>
      <c r="E24" s="8" t="s">
        <v>32</v>
      </c>
      <c r="F24" s="5">
        <f>'July 2026 (3)'!F28-'July 2026 (3)'!D28</f>
        <v>0</v>
      </c>
      <c r="G24" s="4">
        <f>'July 2026 (3)'!D35</f>
        <v>0</v>
      </c>
      <c r="H24" s="4">
        <f>'July 2026 (3)'!F35</f>
        <v>0</v>
      </c>
      <c r="I24" s="8" t="str">
        <f>IF(G24=H24,"Yes","No")</f>
        <v>Yes</v>
      </c>
    </row>
    <row r="25" spans="1:9" ht="15" customHeight="1" x14ac:dyDescent="0.25">
      <c r="A25" s="226" t="s">
        <v>37</v>
      </c>
      <c r="B25" s="226"/>
      <c r="C25" s="226"/>
      <c r="D25" s="226"/>
      <c r="E25" s="226"/>
      <c r="F25" s="226"/>
      <c r="G25" s="226"/>
      <c r="H25" s="226"/>
      <c r="I25" s="226"/>
    </row>
    <row r="26" spans="1:9" ht="19.5" customHeight="1" x14ac:dyDescent="0.25">
      <c r="A26" s="225" t="s">
        <v>38</v>
      </c>
      <c r="B26" s="225"/>
      <c r="C26" s="225"/>
      <c r="D26" s="225"/>
      <c r="E26" s="225"/>
      <c r="F26" s="225"/>
      <c r="G26" s="225"/>
      <c r="H26" s="225"/>
      <c r="I26" s="225"/>
    </row>
    <row r="27" spans="1:9" ht="18" customHeight="1" x14ac:dyDescent="0.25">
      <c r="A27" s="23" t="s">
        <v>39</v>
      </c>
      <c r="B27" s="23" t="s">
        <v>40</v>
      </c>
      <c r="C27" s="23" t="s">
        <v>41</v>
      </c>
      <c r="D27" s="23" t="s">
        <v>42</v>
      </c>
      <c r="E27" s="23" t="s">
        <v>17</v>
      </c>
    </row>
    <row r="28" spans="1:9" ht="15" customHeight="1" x14ac:dyDescent="0.25">
      <c r="A28" s="24" t="s">
        <v>43</v>
      </c>
      <c r="B28" s="25">
        <f>'July 2026 (3)'!O7</f>
        <v>0.4</v>
      </c>
      <c r="C28" s="25">
        <f>'July 2026 (3)'!P7</f>
        <v>1.2</v>
      </c>
      <c r="D28" s="26" t="s">
        <v>44</v>
      </c>
      <c r="E28" s="27"/>
    </row>
    <row r="29" spans="1:9" ht="15" customHeight="1" x14ac:dyDescent="0.25">
      <c r="A29" s="24" t="s">
        <v>45</v>
      </c>
      <c r="B29" s="25">
        <f>'July 2026 (3)'!O8</f>
        <v>0.8</v>
      </c>
      <c r="C29" s="25">
        <f>'July 2026 (3)'!P8</f>
        <v>1.1000000000000001</v>
      </c>
      <c r="D29" s="26" t="s">
        <v>46</v>
      </c>
      <c r="E29" s="27"/>
    </row>
    <row r="30" spans="1:9" ht="15" customHeight="1" x14ac:dyDescent="0.25">
      <c r="A30" s="24" t="s">
        <v>47</v>
      </c>
      <c r="B30" s="8" t="s">
        <v>32</v>
      </c>
      <c r="C30" s="6">
        <f>'July 2026 (3)'!O17</f>
        <v>3.99</v>
      </c>
      <c r="D30" s="26" t="s">
        <v>48</v>
      </c>
      <c r="E30" s="27"/>
    </row>
    <row r="32" spans="1:9" ht="15" customHeight="1" x14ac:dyDescent="0.25">
      <c r="A32" s="3" t="s">
        <v>49</v>
      </c>
      <c r="B32" s="4">
        <f>'July 2026 (3)'!D30</f>
        <v>390</v>
      </c>
      <c r="C32" s="4">
        <f>'July 2026 (3)'!F30</f>
        <v>390</v>
      </c>
      <c r="D32" s="26" t="s">
        <v>50</v>
      </c>
      <c r="E32" s="8" t="str">
        <f>IF(B32=C32,"Conserved","MISMATCH")</f>
        <v>Conserved</v>
      </c>
    </row>
    <row r="33" spans="1:9" ht="15" customHeight="1" x14ac:dyDescent="0.25">
      <c r="A33" s="3" t="s">
        <v>51</v>
      </c>
      <c r="B33" s="222">
        <f>'July 2026 (3)'!O22</f>
        <v>18</v>
      </c>
      <c r="C33" s="222"/>
      <c r="D33" s="26" t="s">
        <v>52</v>
      </c>
      <c r="E33" s="27"/>
    </row>
    <row r="35" spans="1:9" ht="30" customHeight="1" x14ac:dyDescent="0.25">
      <c r="A35" s="223" t="s">
        <v>53</v>
      </c>
      <c r="B35" s="223"/>
      <c r="C35" s="223"/>
      <c r="D35" s="223"/>
      <c r="E35" s="223"/>
      <c r="F35" s="223"/>
      <c r="G35" s="223"/>
      <c r="H35" s="223"/>
      <c r="I35" s="223"/>
    </row>
  </sheetData>
  <mergeCells count="20">
    <mergeCell ref="A1:R2"/>
    <mergeCell ref="A3:R3"/>
    <mergeCell ref="A5:B5"/>
    <mergeCell ref="C5:D5"/>
    <mergeCell ref="E5:F5"/>
    <mergeCell ref="G5:H5"/>
    <mergeCell ref="J5:K5"/>
    <mergeCell ref="L5:M5"/>
    <mergeCell ref="B33:C33"/>
    <mergeCell ref="A35:I35"/>
    <mergeCell ref="L6:M6"/>
    <mergeCell ref="A9:M9"/>
    <mergeCell ref="A18:I18"/>
    <mergeCell ref="A25:I25"/>
    <mergeCell ref="A26:I26"/>
    <mergeCell ref="A6:B6"/>
    <mergeCell ref="C6:D6"/>
    <mergeCell ref="E6:F6"/>
    <mergeCell ref="G6:H6"/>
    <mergeCell ref="J6:K6"/>
  </mergeCells>
  <conditionalFormatting sqref="B20:F24">
    <cfRule type="colorScale" priority="10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E32">
    <cfRule type="cellIs" dxfId="11" priority="13" operator="equal">
      <formula>"Conserved"</formula>
    </cfRule>
    <cfRule type="cellIs" dxfId="10" priority="14" operator="equal">
      <formula>"MISMATCH"</formula>
    </cfRule>
  </conditionalFormatting>
  <conditionalFormatting sqref="G11:G15">
    <cfRule type="cellIs" dxfId="9" priority="8" operator="lessThan">
      <formula>0</formula>
    </cfRule>
    <cfRule type="cellIs" dxfId="8" priority="9" operator="greaterThan">
      <formula>0</formula>
    </cfRule>
  </conditionalFormatting>
  <conditionalFormatting sqref="G6:H6">
    <cfRule type="cellIs" dxfId="7" priority="2" operator="greaterThan">
      <formula>$L$6</formula>
    </cfRule>
    <cfRule type="cellIs" dxfId="6" priority="3" operator="lessThanOrEqual">
      <formula>$L$6</formula>
    </cfRule>
    <cfRule type="cellIs" dxfId="5" priority="4" operator="greaterThan">
      <formula>$J$6</formula>
    </cfRule>
    <cfRule type="cellIs" dxfId="4" priority="5" operator="lessThanOrEqual">
      <formula>$J$6</formula>
    </cfRule>
  </conditionalFormatting>
  <conditionalFormatting sqref="I11:I15">
    <cfRule type="cellIs" dxfId="3" priority="6" operator="equal">
      <formula>"Above Target"</formula>
    </cfRule>
    <cfRule type="cellIs" dxfId="2" priority="7" operator="equal">
      <formula>"Within Target"</formula>
    </cfRule>
  </conditionalFormatting>
  <conditionalFormatting sqref="I20:I24">
    <cfRule type="cellIs" dxfId="1" priority="11" operator="equal">
      <formula>"Yes"</formula>
    </cfRule>
    <cfRule type="cellIs" dxfId="0" priority="12" operator="equal">
      <formula>"No"</formula>
    </cfRule>
  </conditionalFormatting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65"/>
  <sheetViews>
    <sheetView topLeftCell="A2" zoomScale="70" zoomScaleNormal="70" workbookViewId="0">
      <selection activeCell="D29" sqref="D29"/>
    </sheetView>
  </sheetViews>
  <sheetFormatPr defaultColWidth="8.5703125" defaultRowHeight="15" x14ac:dyDescent="0.25"/>
  <cols>
    <col min="1" max="1" width="22" customWidth="1"/>
    <col min="2" max="2" width="22.42578125" customWidth="1"/>
    <col min="3" max="3" width="14.140625" customWidth="1"/>
    <col min="4" max="4" width="25.140625" style="28" customWidth="1"/>
    <col min="5" max="5" width="28.28515625" style="28" customWidth="1"/>
    <col min="6" max="6" width="25.140625" style="28" customWidth="1"/>
    <col min="7" max="7" width="28.28515625" style="28" customWidth="1"/>
    <col min="9" max="9" width="18.5703125" customWidth="1"/>
    <col min="14" max="14" width="28.85546875" customWidth="1"/>
    <col min="15" max="15" width="44.28515625" customWidth="1"/>
    <col min="16" max="16" width="29.5703125" customWidth="1"/>
  </cols>
  <sheetData>
    <row r="1" spans="1:17" ht="57.75" hidden="1" customHeight="1" x14ac:dyDescent="0.25">
      <c r="A1" s="217" t="s">
        <v>54</v>
      </c>
      <c r="B1" s="217"/>
      <c r="C1" s="217"/>
      <c r="D1" s="217"/>
      <c r="E1" s="217"/>
    </row>
    <row r="2" spans="1:17" ht="18.75" customHeight="1" x14ac:dyDescent="0.25">
      <c r="A2" s="218" t="s">
        <v>55</v>
      </c>
      <c r="B2" s="218"/>
      <c r="C2" s="218"/>
      <c r="D2" s="218"/>
      <c r="E2" s="218"/>
    </row>
    <row r="3" spans="1:17" ht="130.5" customHeight="1" x14ac:dyDescent="0.25">
      <c r="A3" s="29" t="s">
        <v>56</v>
      </c>
      <c r="B3" s="30" t="s">
        <v>57</v>
      </c>
      <c r="C3" s="30" t="s">
        <v>58</v>
      </c>
      <c r="D3" s="30" t="s">
        <v>59</v>
      </c>
      <c r="E3" s="1" t="s">
        <v>60</v>
      </c>
      <c r="F3" s="30" t="s">
        <v>61</v>
      </c>
      <c r="G3" s="1" t="s">
        <v>62</v>
      </c>
      <c r="N3" s="219" t="s">
        <v>63</v>
      </c>
      <c r="O3" s="219"/>
      <c r="P3" s="219"/>
    </row>
    <row r="4" spans="1:17" ht="21" hidden="1" customHeight="1" x14ac:dyDescent="0.25">
      <c r="A4" s="220" t="s">
        <v>64</v>
      </c>
      <c r="B4" s="221" t="s">
        <v>65</v>
      </c>
      <c r="C4" s="31" t="s">
        <v>33</v>
      </c>
      <c r="D4" s="32"/>
      <c r="E4" s="32"/>
      <c r="F4" s="32"/>
      <c r="G4" s="32"/>
      <c r="N4" s="33"/>
      <c r="O4" s="33"/>
      <c r="P4" s="33"/>
    </row>
    <row r="5" spans="1:17" ht="26.25" hidden="1" customHeight="1" x14ac:dyDescent="0.25">
      <c r="A5" s="220"/>
      <c r="B5" s="221"/>
      <c r="C5" s="34" t="s">
        <v>34</v>
      </c>
      <c r="D5" s="35"/>
      <c r="E5" s="35"/>
      <c r="F5" s="35"/>
      <c r="G5" s="35"/>
      <c r="N5" s="33"/>
      <c r="O5" s="33"/>
      <c r="P5" s="33"/>
    </row>
    <row r="6" spans="1:17" ht="27" hidden="1" customHeight="1" x14ac:dyDescent="0.25">
      <c r="A6" s="220"/>
      <c r="B6" s="36"/>
      <c r="C6" s="37"/>
      <c r="D6" s="38"/>
      <c r="E6" s="39"/>
      <c r="F6" s="38"/>
      <c r="G6" s="39"/>
      <c r="N6" s="33"/>
      <c r="O6" s="33"/>
      <c r="P6" s="33"/>
    </row>
    <row r="7" spans="1:17" ht="21" customHeight="1" x14ac:dyDescent="0.35">
      <c r="A7" s="211" t="s">
        <v>18</v>
      </c>
      <c r="B7" s="212" t="s">
        <v>65</v>
      </c>
      <c r="C7" s="40" t="s">
        <v>33</v>
      </c>
      <c r="D7" s="41">
        <v>20</v>
      </c>
      <c r="E7" s="42">
        <v>4.78</v>
      </c>
      <c r="F7" s="86">
        <v>17.0445274704228</v>
      </c>
      <c r="G7" s="42">
        <v>4.78</v>
      </c>
      <c r="N7" s="43" t="s">
        <v>66</v>
      </c>
      <c r="O7" s="44">
        <v>0.4</v>
      </c>
      <c r="P7" s="45">
        <v>1.2</v>
      </c>
      <c r="Q7" s="46"/>
    </row>
    <row r="8" spans="1:17" ht="26.25" customHeight="1" x14ac:dyDescent="0.35">
      <c r="A8" s="211"/>
      <c r="B8" s="212"/>
      <c r="C8" s="47" t="s">
        <v>34</v>
      </c>
      <c r="D8" s="48">
        <v>40</v>
      </c>
      <c r="E8" s="42">
        <v>3.9</v>
      </c>
      <c r="F8" s="48">
        <v>48</v>
      </c>
      <c r="G8" s="42">
        <v>3.9</v>
      </c>
      <c r="N8" s="43" t="s">
        <v>67</v>
      </c>
      <c r="O8" s="44">
        <v>0.8</v>
      </c>
      <c r="P8" s="45">
        <v>1.1000000000000001</v>
      </c>
      <c r="Q8" s="46"/>
    </row>
    <row r="9" spans="1:17" ht="27" customHeight="1" x14ac:dyDescent="0.35">
      <c r="A9" s="211"/>
      <c r="B9" s="49"/>
      <c r="C9" s="50"/>
      <c r="D9" s="48">
        <f>SUM(D7:D8)</f>
        <v>60</v>
      </c>
      <c r="E9" s="51">
        <f>IF( SUM(D7:D8)=0,0, SUMPRODUCT(E7:E8,D7:D8)/SUM(D7:D8))</f>
        <v>4.1933333333333334</v>
      </c>
      <c r="F9" s="48">
        <f>SUM(F7:F8)</f>
        <v>65.044527470422793</v>
      </c>
      <c r="G9" s="51">
        <f>IF( SUM(F7:F8)=0,0, SUMPRODUCT(G7:G8,F7:F8)/SUM(F7:F8))</f>
        <v>4.130598710718477</v>
      </c>
      <c r="I9" s="52">
        <f>MAX(0,G9,G14,G18,G23,G29)</f>
        <v>4.130598710718477</v>
      </c>
      <c r="N9" s="43" t="s">
        <v>68</v>
      </c>
      <c r="O9" s="53" t="s">
        <v>69</v>
      </c>
      <c r="P9" s="54">
        <f>D30</f>
        <v>390</v>
      </c>
      <c r="Q9" s="46"/>
    </row>
    <row r="10" spans="1:17" ht="24" customHeight="1" x14ac:dyDescent="0.3">
      <c r="A10" s="213" t="s">
        <v>19</v>
      </c>
      <c r="B10" s="214" t="s">
        <v>70</v>
      </c>
      <c r="C10" s="55" t="s">
        <v>71</v>
      </c>
      <c r="D10" s="56">
        <v>30</v>
      </c>
      <c r="E10" s="57">
        <v>3.72</v>
      </c>
      <c r="F10" s="56">
        <v>36</v>
      </c>
      <c r="G10" s="57">
        <v>3.72</v>
      </c>
      <c r="I10" s="58"/>
      <c r="N10" s="43" t="s">
        <v>31</v>
      </c>
      <c r="O10" s="59">
        <f>D31</f>
        <v>60</v>
      </c>
      <c r="P10" s="43"/>
      <c r="Q10" s="46"/>
    </row>
    <row r="11" spans="1:17" ht="26.25" customHeight="1" x14ac:dyDescent="0.3">
      <c r="A11" s="213"/>
      <c r="B11" s="214"/>
      <c r="C11" s="60" t="s">
        <v>35</v>
      </c>
      <c r="D11" s="56">
        <v>20</v>
      </c>
      <c r="E11" s="57">
        <v>3.96</v>
      </c>
      <c r="F11" s="56">
        <v>20.925671674639993</v>
      </c>
      <c r="G11" s="57">
        <v>3.96</v>
      </c>
      <c r="I11" s="58"/>
      <c r="N11" s="43" t="s">
        <v>33</v>
      </c>
      <c r="O11" s="59">
        <f>D32</f>
        <v>110</v>
      </c>
      <c r="P11" s="43"/>
      <c r="Q11" s="46"/>
    </row>
    <row r="12" spans="1:17" ht="26.25" customHeight="1" x14ac:dyDescent="0.3">
      <c r="A12" s="213"/>
      <c r="B12" s="214"/>
      <c r="C12" s="61" t="s">
        <v>31</v>
      </c>
      <c r="D12" s="56">
        <v>0</v>
      </c>
      <c r="E12" s="57">
        <v>3.39</v>
      </c>
      <c r="F12" s="56">
        <v>-9.9999999997324451E-7</v>
      </c>
      <c r="G12" s="57">
        <v>3.39</v>
      </c>
      <c r="I12" s="58">
        <f>G9*F9+G14*F14+G18*F18+G23*F23+G29*F29</f>
        <v>1545.8651765387949</v>
      </c>
      <c r="N12" s="43" t="s">
        <v>34</v>
      </c>
      <c r="O12" s="59">
        <f>D33</f>
        <v>155</v>
      </c>
      <c r="P12" s="43"/>
      <c r="Q12" s="46"/>
    </row>
    <row r="13" spans="1:17" ht="26.25" customHeight="1" x14ac:dyDescent="0.3">
      <c r="A13" s="213"/>
      <c r="B13" s="214"/>
      <c r="C13" s="60" t="s">
        <v>33</v>
      </c>
      <c r="D13" s="56">
        <v>15</v>
      </c>
      <c r="E13" s="57">
        <v>4.7</v>
      </c>
      <c r="F13" s="56">
        <v>14.57433032536</v>
      </c>
      <c r="G13" s="57">
        <v>4.7</v>
      </c>
      <c r="I13" s="58"/>
      <c r="N13" s="43" t="s">
        <v>35</v>
      </c>
      <c r="O13" s="59">
        <f>D34</f>
        <v>65</v>
      </c>
      <c r="P13" s="43"/>
      <c r="Q13" s="46"/>
    </row>
    <row r="14" spans="1:17" ht="27" customHeight="1" x14ac:dyDescent="0.3">
      <c r="A14" s="213"/>
      <c r="B14" s="214"/>
      <c r="C14" s="62"/>
      <c r="D14" s="56">
        <f>SUM(D10:D13)</f>
        <v>65</v>
      </c>
      <c r="E14" s="63">
        <f>IF(SUM(D10:D13)=0,0,SUMPRODUCT(E10:E13,D10:D13)/SUM(D10:D13))</f>
        <v>4.0200000000000005</v>
      </c>
      <c r="F14" s="56">
        <f>SUM(F10:F13)</f>
        <v>71.500000999999997</v>
      </c>
      <c r="G14" s="63">
        <f>IF(SUM(F10:F13)=0,0,SUMPRODUCT(G10:G13,F10:F13)/SUM(F10:F13))</f>
        <v>3.9900000696610678</v>
      </c>
      <c r="I14" s="58"/>
      <c r="N14" s="43" t="s">
        <v>36</v>
      </c>
      <c r="O14" s="59">
        <f>D35</f>
        <v>0</v>
      </c>
      <c r="P14" s="43"/>
      <c r="Q14" s="46"/>
    </row>
    <row r="15" spans="1:17" ht="26.25" customHeight="1" x14ac:dyDescent="0.35">
      <c r="A15" s="215" t="s">
        <v>20</v>
      </c>
      <c r="B15" s="216" t="s">
        <v>65</v>
      </c>
      <c r="C15" s="64" t="s">
        <v>31</v>
      </c>
      <c r="D15" s="48">
        <v>60</v>
      </c>
      <c r="E15" s="42">
        <v>3.93</v>
      </c>
      <c r="F15" s="48">
        <v>24.528301886792462</v>
      </c>
      <c r="G15" s="42">
        <v>3.93</v>
      </c>
      <c r="I15" s="65">
        <f>I12/F30</f>
        <v>3.9637568629199871</v>
      </c>
      <c r="N15" s="43" t="s">
        <v>72</v>
      </c>
      <c r="O15" s="66">
        <f>I15</f>
        <v>3.9637568629199871</v>
      </c>
      <c r="P15" s="43"/>
      <c r="Q15" s="46"/>
    </row>
    <row r="16" spans="1:17" ht="26.25" customHeight="1" x14ac:dyDescent="0.35">
      <c r="A16" s="215"/>
      <c r="B16" s="216"/>
      <c r="C16" s="47" t="s">
        <v>34</v>
      </c>
      <c r="D16" s="48">
        <v>25</v>
      </c>
      <c r="E16" s="42">
        <v>3.59</v>
      </c>
      <c r="F16" s="48">
        <v>30</v>
      </c>
      <c r="G16" s="42">
        <v>3.59</v>
      </c>
      <c r="N16" s="43" t="s">
        <v>73</v>
      </c>
      <c r="O16" s="66">
        <f>MAX(0,E9,E14,E18,E23,E29)</f>
        <v>4.4312500000000004</v>
      </c>
      <c r="P16" s="43"/>
      <c r="Q16" s="46"/>
    </row>
    <row r="17" spans="1:17" ht="26.25" customHeight="1" x14ac:dyDescent="0.35">
      <c r="A17" s="215"/>
      <c r="B17" s="216"/>
      <c r="C17" s="47" t="s">
        <v>33</v>
      </c>
      <c r="D17" s="48">
        <v>0</v>
      </c>
      <c r="E17" s="42">
        <v>4.99</v>
      </c>
      <c r="F17" s="48">
        <v>13.471698113207543</v>
      </c>
      <c r="G17" s="42">
        <v>4.99</v>
      </c>
      <c r="N17" s="43" t="s">
        <v>74</v>
      </c>
      <c r="O17" s="66">
        <v>3.99</v>
      </c>
      <c r="P17" s="67"/>
      <c r="Q17" s="46"/>
    </row>
    <row r="18" spans="1:17" ht="27" customHeight="1" x14ac:dyDescent="0.3">
      <c r="A18" s="215"/>
      <c r="B18" s="216"/>
      <c r="C18" s="47"/>
      <c r="D18" s="48">
        <f>SUM(D15:D17)</f>
        <v>85</v>
      </c>
      <c r="E18" s="63">
        <f>IF(SUM(D15:D17)=0,0,SUMPRODUCT(E15:E17,D15:D17)/SUM(D15:D17))</f>
        <v>3.83</v>
      </c>
      <c r="F18" s="48">
        <f>SUM(F15:F17)</f>
        <v>68</v>
      </c>
      <c r="G18" s="63">
        <f>IF(SUM(F15:F17)=0,0,SUMPRODUCT(G15:G17,F15:F17)/SUM(F15:F17))</f>
        <v>3.9899999999999998</v>
      </c>
      <c r="N18" s="43"/>
      <c r="O18" s="67"/>
      <c r="P18" s="67"/>
      <c r="Q18" s="46"/>
    </row>
    <row r="19" spans="1:17" ht="26.25" customHeight="1" x14ac:dyDescent="0.3">
      <c r="A19" s="205" t="s">
        <v>21</v>
      </c>
      <c r="B19" s="206" t="s">
        <v>75</v>
      </c>
      <c r="C19" s="55" t="s">
        <v>71</v>
      </c>
      <c r="D19" s="56">
        <v>60</v>
      </c>
      <c r="E19" s="57">
        <v>3.31</v>
      </c>
      <c r="F19" s="56">
        <v>41</v>
      </c>
      <c r="G19" s="57">
        <v>3.31</v>
      </c>
      <c r="N19" s="46"/>
      <c r="O19" s="46"/>
      <c r="P19" s="46"/>
      <c r="Q19" s="46"/>
    </row>
    <row r="20" spans="1:17" ht="26.25" customHeight="1" x14ac:dyDescent="0.3">
      <c r="A20" s="205"/>
      <c r="B20" s="206"/>
      <c r="C20" s="68" t="s">
        <v>33</v>
      </c>
      <c r="D20" s="56">
        <v>0</v>
      </c>
      <c r="E20" s="57">
        <v>4.33</v>
      </c>
      <c r="F20" s="56">
        <v>25</v>
      </c>
      <c r="G20" s="57">
        <v>4.33</v>
      </c>
      <c r="N20" s="46"/>
      <c r="O20" s="46"/>
      <c r="P20" s="46"/>
      <c r="Q20" s="46"/>
    </row>
    <row r="21" spans="1:17" ht="26.25" customHeight="1" x14ac:dyDescent="0.3">
      <c r="A21" s="205"/>
      <c r="B21" s="206"/>
      <c r="C21" s="69" t="s">
        <v>35</v>
      </c>
      <c r="D21" s="56">
        <v>0</v>
      </c>
      <c r="E21" s="57">
        <v>3.5</v>
      </c>
      <c r="F21" s="56">
        <v>0</v>
      </c>
      <c r="G21" s="57">
        <v>3.5</v>
      </c>
      <c r="N21" s="46"/>
      <c r="O21" s="46">
        <f>MIN($I$15)</f>
        <v>3.9637568629199871</v>
      </c>
      <c r="P21" s="46"/>
      <c r="Q21" s="46"/>
    </row>
    <row r="22" spans="1:17" ht="26.25" customHeight="1" x14ac:dyDescent="0.3">
      <c r="A22" s="205"/>
      <c r="B22" s="206"/>
      <c r="C22" s="70" t="s">
        <v>31</v>
      </c>
      <c r="D22" s="56">
        <v>0</v>
      </c>
      <c r="E22" s="57">
        <v>2.8</v>
      </c>
      <c r="F22" s="56">
        <v>0</v>
      </c>
      <c r="G22" s="57">
        <v>2.8</v>
      </c>
      <c r="N22" s="46"/>
      <c r="O22" s="46">
        <f>COUNT($F$7,$F$8,$F$10,$F$11,$F$12,$F$13,$F$15,$F$16,$F$17,$F$19,$F$20,$F$21,$F$22,$F$24,$F$25,$F$26,$F$27,$F$28)</f>
        <v>18</v>
      </c>
      <c r="P22" s="46"/>
      <c r="Q22" s="46"/>
    </row>
    <row r="23" spans="1:17" ht="27" customHeight="1" x14ac:dyDescent="0.3">
      <c r="A23" s="205"/>
      <c r="B23" s="206"/>
      <c r="C23" s="71"/>
      <c r="D23" s="56">
        <f>SUM(D19:D22)</f>
        <v>60</v>
      </c>
      <c r="E23" s="63">
        <f>IF(SUM(D19:D22)=0,0,SUMPRODUCT(E19:E22,D19:D22)/SUM(D19:D22))</f>
        <v>3.31</v>
      </c>
      <c r="F23" s="56">
        <f>SUM(F19:F22)</f>
        <v>66</v>
      </c>
      <c r="G23" s="63">
        <f>IF(SUM(F19:F22)=0,0,SUMPRODUCT(G19:G22,F19:F22)/SUM(F19:F22))</f>
        <v>3.6963636363636363</v>
      </c>
      <c r="N23" s="46"/>
      <c r="O23" s="46" t="b">
        <f>$F$10&lt;=$D$10*$P$7</f>
        <v>1</v>
      </c>
      <c r="P23" s="46"/>
      <c r="Q23" s="46"/>
    </row>
    <row r="24" spans="1:17" ht="24" customHeight="1" x14ac:dyDescent="0.3">
      <c r="A24" s="207" t="s">
        <v>22</v>
      </c>
      <c r="B24" s="208" t="s">
        <v>75</v>
      </c>
      <c r="C24" s="72" t="s">
        <v>34</v>
      </c>
      <c r="D24" s="48">
        <v>0</v>
      </c>
      <c r="E24" s="42">
        <v>3.68</v>
      </c>
      <c r="F24" s="48">
        <v>-7.1054273576010019E-15</v>
      </c>
      <c r="G24" s="42">
        <v>3.68</v>
      </c>
      <c r="N24" s="46"/>
      <c r="O24" s="46" t="b">
        <f>$F$10&gt;=$D$10*$O$7</f>
        <v>1</v>
      </c>
      <c r="P24" s="46"/>
      <c r="Q24" s="46"/>
    </row>
    <row r="25" spans="1:17" ht="26.25" customHeight="1" x14ac:dyDescent="0.3">
      <c r="A25" s="207"/>
      <c r="B25" s="208"/>
      <c r="C25" s="73" t="s">
        <v>33</v>
      </c>
      <c r="D25" s="48">
        <v>75</v>
      </c>
      <c r="E25" s="42">
        <v>4.6900000000000004</v>
      </c>
      <c r="F25" s="48">
        <v>39.909444091009661</v>
      </c>
      <c r="G25" s="42">
        <v>4.6900000000000004</v>
      </c>
      <c r="N25" s="46"/>
      <c r="O25" s="46" t="b">
        <f>$F$11&lt;=$D$11*$P$7</f>
        <v>1</v>
      </c>
      <c r="P25" s="46"/>
      <c r="Q25" s="46"/>
    </row>
    <row r="26" spans="1:17" ht="26.25" customHeight="1" x14ac:dyDescent="0.3">
      <c r="A26" s="207"/>
      <c r="B26" s="208"/>
      <c r="C26" s="47" t="s">
        <v>35</v>
      </c>
      <c r="D26" s="48">
        <v>45</v>
      </c>
      <c r="E26" s="42">
        <v>4</v>
      </c>
      <c r="F26" s="48">
        <v>44.074328325360014</v>
      </c>
      <c r="G26" s="42">
        <v>4</v>
      </c>
      <c r="N26" s="46"/>
      <c r="O26" s="46" t="b">
        <f>$F$11&gt;=$D$11*$O$7</f>
        <v>1</v>
      </c>
      <c r="P26" s="46"/>
      <c r="Q26" s="46"/>
    </row>
    <row r="27" spans="1:17" ht="26.25" customHeight="1" x14ac:dyDescent="0.3">
      <c r="A27" s="207"/>
      <c r="B27" s="208"/>
      <c r="C27" s="72" t="s">
        <v>31</v>
      </c>
      <c r="D27" s="48">
        <v>0</v>
      </c>
      <c r="E27" s="42">
        <v>3.19</v>
      </c>
      <c r="F27" s="48">
        <v>35.471699113207535</v>
      </c>
      <c r="G27" s="42">
        <v>3.19</v>
      </c>
      <c r="N27" s="46"/>
      <c r="O27" s="46" t="b">
        <f>$F$13&lt;=$D$13*$P$7</f>
        <v>1</v>
      </c>
      <c r="P27" s="46"/>
      <c r="Q27" s="46"/>
    </row>
    <row r="28" spans="1:17" ht="26.25" customHeight="1" x14ac:dyDescent="0.3">
      <c r="A28" s="207"/>
      <c r="B28" s="208"/>
      <c r="C28" s="74" t="s">
        <v>36</v>
      </c>
      <c r="D28" s="48">
        <v>0</v>
      </c>
      <c r="E28" s="42">
        <v>4.78</v>
      </c>
      <c r="F28" s="48">
        <v>0</v>
      </c>
      <c r="G28" s="42">
        <v>4.78</v>
      </c>
      <c r="N28" s="46"/>
      <c r="O28" s="46" t="b">
        <f>$F$13&gt;=$D$13*$O$7</f>
        <v>1</v>
      </c>
      <c r="P28" s="46"/>
      <c r="Q28" s="46"/>
    </row>
    <row r="29" spans="1:17" ht="27" customHeight="1" x14ac:dyDescent="0.3">
      <c r="A29" s="207"/>
      <c r="B29" s="208"/>
      <c r="C29" s="72"/>
      <c r="D29" s="75">
        <f>SUM(D24:D28)</f>
        <v>120</v>
      </c>
      <c r="E29" s="76">
        <f>IF(SUM(D24:D28)=0,0,SUMPRODUCT(E24:E28,D24:D28)/SUM(D24:D28))</f>
        <v>4.4312500000000004</v>
      </c>
      <c r="F29" s="75">
        <f>SUM(F24:F28)</f>
        <v>119.45547152957721</v>
      </c>
      <c r="G29" s="76">
        <f>IF(SUM(F24:F28)=0,0,SUMPRODUCT(G24:G28,F24:F28)/SUM(F24:F28))</f>
        <v>3.9899999569412303</v>
      </c>
      <c r="N29" s="46"/>
      <c r="O29" s="46" t="b">
        <f>$F$14&lt;=$D$14*$P$8</f>
        <v>0</v>
      </c>
      <c r="P29" s="46"/>
      <c r="Q29" s="46"/>
    </row>
    <row r="30" spans="1:17" ht="26.25" customHeight="1" x14ac:dyDescent="0.3">
      <c r="A30" s="209" t="s">
        <v>76</v>
      </c>
      <c r="B30" s="210" t="s">
        <v>57</v>
      </c>
      <c r="C30" s="77"/>
      <c r="D30" s="78">
        <f>D9+D14+D18+D23+D29</f>
        <v>390</v>
      </c>
      <c r="E30" s="79"/>
      <c r="F30" s="78">
        <f>F9+F14+F18+F23+F29</f>
        <v>390</v>
      </c>
      <c r="G30" s="79"/>
      <c r="O30" t="b">
        <f>$F$14&gt;=$D$14*$O$8</f>
        <v>1</v>
      </c>
    </row>
    <row r="31" spans="1:17" ht="26.25" customHeight="1" x14ac:dyDescent="0.3">
      <c r="A31" s="209"/>
      <c r="B31" s="210"/>
      <c r="C31" s="43" t="s">
        <v>31</v>
      </c>
      <c r="D31" s="80">
        <f>D15+D12+D22+D27</f>
        <v>60</v>
      </c>
      <c r="E31" s="81"/>
      <c r="F31" s="80">
        <f>F15+F12+F22+F27</f>
        <v>60</v>
      </c>
      <c r="G31" s="81"/>
      <c r="O31" t="b">
        <f>$F$15&lt;=$D$15*$P$7</f>
        <v>1</v>
      </c>
    </row>
    <row r="32" spans="1:17" ht="26.25" customHeight="1" x14ac:dyDescent="0.3">
      <c r="A32" s="209"/>
      <c r="B32" s="210"/>
      <c r="C32" s="43" t="s">
        <v>33</v>
      </c>
      <c r="D32" s="80">
        <f>D25+D20+D17+D13+D7</f>
        <v>110</v>
      </c>
      <c r="E32" s="81"/>
      <c r="F32" s="80">
        <f>F25+F20+F17+F13+F7</f>
        <v>110</v>
      </c>
      <c r="G32" s="81"/>
      <c r="O32" t="b">
        <f>$F$15&gt;=$D$15*$O$7</f>
        <v>1</v>
      </c>
    </row>
    <row r="33" spans="1:15" ht="26.25" customHeight="1" x14ac:dyDescent="0.3">
      <c r="A33" s="209"/>
      <c r="B33" s="210"/>
      <c r="C33" s="43" t="s">
        <v>34</v>
      </c>
      <c r="D33" s="80">
        <f>D8+D10+D16+D19+D2431</f>
        <v>155</v>
      </c>
      <c r="E33" s="81"/>
      <c r="F33" s="80">
        <f>F8+F10+F16+F19+F2431</f>
        <v>155</v>
      </c>
      <c r="G33" s="81"/>
      <c r="O33" t="b">
        <f>$F$16&lt;=$D$16*$P$7</f>
        <v>1</v>
      </c>
    </row>
    <row r="34" spans="1:15" ht="26.25" customHeight="1" x14ac:dyDescent="0.3">
      <c r="A34" s="209"/>
      <c r="B34" s="210"/>
      <c r="C34" s="43" t="s">
        <v>35</v>
      </c>
      <c r="D34" s="80">
        <f>D21+D26+D11</f>
        <v>65</v>
      </c>
      <c r="E34" s="81"/>
      <c r="F34" s="80">
        <f>F21+F26+F11</f>
        <v>65</v>
      </c>
      <c r="G34" s="81"/>
      <c r="O34" t="b">
        <f>$F$16&gt;=$D$16*$O$7</f>
        <v>1</v>
      </c>
    </row>
    <row r="35" spans="1:15" ht="26.25" customHeight="1" x14ac:dyDescent="0.3">
      <c r="A35" s="209"/>
      <c r="B35" s="210"/>
      <c r="C35" s="43" t="s">
        <v>36</v>
      </c>
      <c r="D35" s="80">
        <f>D28</f>
        <v>0</v>
      </c>
      <c r="E35" s="81"/>
      <c r="F35" s="80">
        <f>F28</f>
        <v>0</v>
      </c>
      <c r="G35" s="81"/>
      <c r="O35" t="b">
        <f>$F$18&lt;=$D$18*$P$8</f>
        <v>1</v>
      </c>
    </row>
    <row r="36" spans="1:15" ht="27" customHeight="1" x14ac:dyDescent="0.3">
      <c r="A36" s="209"/>
      <c r="B36" s="210"/>
      <c r="C36" s="82" t="s">
        <v>77</v>
      </c>
      <c r="D36" s="83">
        <f>SUM(D31:D35)</f>
        <v>390</v>
      </c>
      <c r="E36" s="82"/>
      <c r="F36" s="83">
        <f>SUM(F31:F35)</f>
        <v>390</v>
      </c>
      <c r="G36" s="82"/>
      <c r="O36" t="b">
        <f>$F$18&gt;=$D$18*$O$8</f>
        <v>1</v>
      </c>
    </row>
    <row r="37" spans="1:15" ht="27" customHeight="1" x14ac:dyDescent="0.3">
      <c r="A37" s="84"/>
      <c r="B37" s="85"/>
      <c r="C37" s="82"/>
      <c r="D37" s="82"/>
      <c r="E37" s="82"/>
      <c r="F37" s="82"/>
      <c r="G37" s="82"/>
      <c r="O37" t="b">
        <f>$F$19&lt;=$D$19*$P$7</f>
        <v>1</v>
      </c>
    </row>
    <row r="38" spans="1:15" ht="15" customHeight="1" x14ac:dyDescent="0.25">
      <c r="O38" t="b">
        <f>$F$19&gt;=$D$19*$O$7</f>
        <v>1</v>
      </c>
    </row>
    <row r="39" spans="1:15" ht="15" customHeight="1" x14ac:dyDescent="0.25">
      <c r="O39" t="b">
        <f>$F$23&lt;=$D$23*$P$8</f>
        <v>1</v>
      </c>
    </row>
    <row r="40" spans="1:15" ht="15" customHeight="1" x14ac:dyDescent="0.25">
      <c r="O40" t="b">
        <f>$F$23&gt;=$D$23*$O$8</f>
        <v>1</v>
      </c>
    </row>
    <row r="41" spans="1:15" ht="15" customHeight="1" x14ac:dyDescent="0.25">
      <c r="O41" t="b">
        <f>$F$25&lt;=$D$25*$P$7</f>
        <v>1</v>
      </c>
    </row>
    <row r="42" spans="1:15" ht="15" customHeight="1" x14ac:dyDescent="0.25">
      <c r="O42" t="b">
        <f>$F$25&gt;=$D$25*$O$7</f>
        <v>1</v>
      </c>
    </row>
    <row r="43" spans="1:15" ht="15" customHeight="1" x14ac:dyDescent="0.25">
      <c r="O43" t="b">
        <f>$F$26&lt;=$D$26*$P$7</f>
        <v>1</v>
      </c>
    </row>
    <row r="44" spans="1:15" ht="15" customHeight="1" x14ac:dyDescent="0.25">
      <c r="O44" t="b">
        <f>$F$26&gt;=$D$26*$O$7</f>
        <v>1</v>
      </c>
    </row>
    <row r="45" spans="1:15" ht="15" customHeight="1" x14ac:dyDescent="0.25">
      <c r="O45" t="b">
        <f>$F$29&lt;=$D$29*$P$8</f>
        <v>1</v>
      </c>
    </row>
    <row r="46" spans="1:15" ht="15" customHeight="1" x14ac:dyDescent="0.25">
      <c r="O46" t="b">
        <f>$F$29&gt;=$D$29*$O$8</f>
        <v>1</v>
      </c>
    </row>
    <row r="47" spans="1:15" ht="15" customHeight="1" x14ac:dyDescent="0.25">
      <c r="O47" t="b">
        <f>$F$30=$P$9</f>
        <v>1</v>
      </c>
    </row>
    <row r="48" spans="1:15" ht="15" customHeight="1" x14ac:dyDescent="0.25">
      <c r="O48" t="b">
        <f>$F$31=$O$10</f>
        <v>1</v>
      </c>
    </row>
    <row r="49" spans="15:15" ht="15" customHeight="1" x14ac:dyDescent="0.25">
      <c r="O49" t="b">
        <f>$F$32=$O$11</f>
        <v>1</v>
      </c>
    </row>
    <row r="50" spans="15:15" ht="15" customHeight="1" x14ac:dyDescent="0.25">
      <c r="O50" t="b">
        <f>$F$33=$O$12</f>
        <v>1</v>
      </c>
    </row>
    <row r="51" spans="15:15" ht="15" customHeight="1" x14ac:dyDescent="0.25">
      <c r="O51" t="b">
        <f>$F$34=$O$13</f>
        <v>1</v>
      </c>
    </row>
    <row r="52" spans="15:15" ht="15" customHeight="1" x14ac:dyDescent="0.25">
      <c r="O52" t="b">
        <f>$F$35=$D$35</f>
        <v>1</v>
      </c>
    </row>
    <row r="53" spans="15:15" ht="15" customHeight="1" x14ac:dyDescent="0.25">
      <c r="O53" t="b">
        <f>$F$7&lt;=$D$7*$P$7</f>
        <v>1</v>
      </c>
    </row>
    <row r="54" spans="15:15" ht="15" customHeight="1" x14ac:dyDescent="0.25">
      <c r="O54" t="b">
        <f>$F$7&gt;=$D$7*$O$7</f>
        <v>1</v>
      </c>
    </row>
    <row r="55" spans="15:15" ht="15" customHeight="1" x14ac:dyDescent="0.25">
      <c r="O55" t="b">
        <f>$F$8&lt;=$D$8*$P$7</f>
        <v>1</v>
      </c>
    </row>
    <row r="56" spans="15:15" ht="15" customHeight="1" x14ac:dyDescent="0.25">
      <c r="O56" t="b">
        <f>$F$8&gt;=$D$8*$O$7</f>
        <v>1</v>
      </c>
    </row>
    <row r="57" spans="15:15" ht="15" customHeight="1" x14ac:dyDescent="0.25">
      <c r="O57" t="b">
        <f>$F$9&lt;=$D$9*$P$8</f>
        <v>1</v>
      </c>
    </row>
    <row r="58" spans="15:15" ht="15" customHeight="1" x14ac:dyDescent="0.25">
      <c r="O58" t="b">
        <f>$F$9&gt;=$D$9*$O$8</f>
        <v>1</v>
      </c>
    </row>
    <row r="59" spans="15:15" ht="15" customHeight="1" x14ac:dyDescent="0.25">
      <c r="O59" t="b">
        <f>$G$14&lt;=$O$17</f>
        <v>0</v>
      </c>
    </row>
    <row r="60" spans="15:15" ht="15" customHeight="1" x14ac:dyDescent="0.25">
      <c r="O60" t="b">
        <f>$G$18&lt;=$O$17</f>
        <v>1</v>
      </c>
    </row>
    <row r="61" spans="15:15" ht="15" customHeight="1" x14ac:dyDescent="0.25">
      <c r="O61" t="b">
        <f>$G$23&lt;=$O$17</f>
        <v>1</v>
      </c>
    </row>
    <row r="62" spans="15:15" ht="15" customHeight="1" x14ac:dyDescent="0.25">
      <c r="O62" t="b">
        <f>$G$29&lt;=$O$17</f>
        <v>1</v>
      </c>
    </row>
    <row r="63" spans="15:15" ht="15" customHeight="1" x14ac:dyDescent="0.25">
      <c r="O63" t="b">
        <f>$G$9&lt;=$O$17</f>
        <v>0</v>
      </c>
    </row>
    <row r="64" spans="15:15" ht="15" customHeight="1" x14ac:dyDescent="0.25">
      <c r="O64">
        <f>{32767,32767,0.000001,0.01,FALSE,FALSE,FALSE,1,1,1,0.0001,TRUE}</f>
        <v>32767</v>
      </c>
    </row>
    <row r="65" spans="15:15" ht="15" customHeight="1" x14ac:dyDescent="0.25">
      <c r="O65">
        <f>{0,0,1,0,0,FALSE,FALSE,0.075,0,0,FALSE,30}</f>
        <v>0</v>
      </c>
    </row>
  </sheetData>
  <mergeCells count="17">
    <mergeCell ref="A1:E1"/>
    <mergeCell ref="A2:E2"/>
    <mergeCell ref="N3:P3"/>
    <mergeCell ref="A4:A6"/>
    <mergeCell ref="B4:B5"/>
    <mergeCell ref="A7:A9"/>
    <mergeCell ref="B7:B8"/>
    <mergeCell ref="A10:A14"/>
    <mergeCell ref="B10:B14"/>
    <mergeCell ref="A15:A18"/>
    <mergeCell ref="B15:B18"/>
    <mergeCell ref="A19:A23"/>
    <mergeCell ref="B19:B23"/>
    <mergeCell ref="A24:A29"/>
    <mergeCell ref="B24:B29"/>
    <mergeCell ref="A30:A36"/>
    <mergeCell ref="B30:B36"/>
  </mergeCells>
  <pageMargins left="0.25" right="0.25" top="0.75" bottom="0.75" header="0.511811023622047" footer="0.511811023622047"/>
  <pageSetup orientation="landscape" horizontalDpi="300" verticalDpi="300"/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885F-5198-466C-AE14-9410C405FE53}">
  <dimension ref="A1:W35"/>
  <sheetViews>
    <sheetView tabSelected="1" topLeftCell="B1" zoomScale="70" zoomScaleNormal="70" workbookViewId="0">
      <selection activeCell="N3" sqref="N3"/>
    </sheetView>
  </sheetViews>
  <sheetFormatPr defaultRowHeight="15" x14ac:dyDescent="0.25"/>
  <cols>
    <col min="1" max="1" width="22" customWidth="1"/>
    <col min="2" max="2" width="22.42578125" customWidth="1"/>
    <col min="3" max="3" width="14.140625" customWidth="1"/>
    <col min="4" max="4" width="15.85546875" customWidth="1"/>
    <col min="5" max="5" width="21" customWidth="1"/>
    <col min="6" max="7" width="13.42578125" customWidth="1"/>
    <col min="8" max="8" width="16" customWidth="1"/>
    <col min="9" max="9" width="12.28515625" style="202" customWidth="1"/>
    <col min="10" max="10" width="16.28515625" style="202" customWidth="1"/>
    <col min="11" max="11" width="14" style="202" customWidth="1"/>
    <col min="12" max="12" width="12.28515625" style="202" customWidth="1"/>
    <col min="13" max="13" width="14.7109375" style="202" customWidth="1"/>
    <col min="14" max="14" width="17.28515625" style="202" customWidth="1"/>
    <col min="15" max="15" width="15.85546875" style="202" customWidth="1"/>
    <col min="16" max="16" width="17.28515625" style="202" customWidth="1"/>
    <col min="17" max="17" width="12.28515625" style="204" customWidth="1"/>
    <col min="18" max="18" width="16.140625" style="204" customWidth="1"/>
    <col min="19" max="19" width="15.5703125" style="204" customWidth="1"/>
    <col min="20" max="21" width="15.85546875" style="202" customWidth="1"/>
    <col min="22" max="22" width="65" customWidth="1"/>
    <col min="23" max="23" width="12.42578125" customWidth="1"/>
  </cols>
  <sheetData>
    <row r="1" spans="1:23" ht="27" thickBot="1" x14ac:dyDescent="0.3">
      <c r="A1" s="289" t="s">
        <v>78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1"/>
    </row>
    <row r="2" spans="1:23" ht="18.75" x14ac:dyDescent="0.25">
      <c r="A2" s="292" t="s">
        <v>55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4"/>
    </row>
    <row r="3" spans="1:23" ht="126.75" thickBot="1" x14ac:dyDescent="0.3">
      <c r="A3" s="87" t="s">
        <v>56</v>
      </c>
      <c r="B3" s="88" t="s">
        <v>57</v>
      </c>
      <c r="C3" s="88" t="s">
        <v>58</v>
      </c>
      <c r="D3" s="88" t="s">
        <v>79</v>
      </c>
      <c r="E3" s="88" t="s">
        <v>80</v>
      </c>
      <c r="F3" s="88" t="s">
        <v>81</v>
      </c>
      <c r="G3" s="88" t="s">
        <v>82</v>
      </c>
      <c r="H3" s="88" t="s">
        <v>83</v>
      </c>
      <c r="I3" s="88" t="s">
        <v>84</v>
      </c>
      <c r="J3" s="88" t="s">
        <v>85</v>
      </c>
      <c r="K3" s="88" t="s">
        <v>86</v>
      </c>
      <c r="L3" s="88" t="s">
        <v>87</v>
      </c>
      <c r="M3" s="88" t="s">
        <v>88</v>
      </c>
      <c r="N3" s="88" t="s">
        <v>96</v>
      </c>
      <c r="O3" s="88" t="s">
        <v>89</v>
      </c>
      <c r="P3" s="88" t="s">
        <v>90</v>
      </c>
      <c r="Q3" s="88" t="s">
        <v>59</v>
      </c>
      <c r="R3" s="88" t="s">
        <v>60</v>
      </c>
      <c r="S3" s="88" t="s">
        <v>91</v>
      </c>
      <c r="T3" s="89" t="s">
        <v>92</v>
      </c>
      <c r="U3" s="89" t="s">
        <v>93</v>
      </c>
      <c r="V3" s="88" t="s">
        <v>94</v>
      </c>
      <c r="W3" s="90"/>
    </row>
    <row r="4" spans="1:23" ht="26.25" x14ac:dyDescent="0.4">
      <c r="A4" s="270" t="s">
        <v>18</v>
      </c>
      <c r="B4" s="237" t="s">
        <v>65</v>
      </c>
      <c r="C4" s="92" t="s">
        <v>33</v>
      </c>
      <c r="D4" s="93">
        <v>2.82</v>
      </c>
      <c r="E4" s="285">
        <v>9.59</v>
      </c>
      <c r="F4" s="93">
        <v>4497</v>
      </c>
      <c r="G4" s="93">
        <v>0</v>
      </c>
      <c r="H4" s="93">
        <v>2194</v>
      </c>
      <c r="I4" s="94">
        <f t="shared" ref="I4:I5" si="0">F4+H4</f>
        <v>6691</v>
      </c>
      <c r="J4" s="287">
        <v>5297</v>
      </c>
      <c r="K4" s="95">
        <v>0.65</v>
      </c>
      <c r="L4" s="96">
        <v>9</v>
      </c>
      <c r="M4" s="97">
        <f>I4*K4/1000/(1-L4/100)</f>
        <v>4.7792857142857148</v>
      </c>
      <c r="N4" s="91">
        <f t="shared" ref="N4:N20" si="1">D4/(365*3900)*100000</f>
        <v>0.19810326659641725</v>
      </c>
      <c r="O4" s="98">
        <v>1</v>
      </c>
      <c r="P4" s="99"/>
      <c r="Q4" s="100">
        <v>15</v>
      </c>
      <c r="R4" s="101"/>
      <c r="S4" s="101">
        <v>20</v>
      </c>
      <c r="T4" s="102"/>
      <c r="U4" s="243">
        <v>3.99</v>
      </c>
      <c r="V4" s="295"/>
    </row>
    <row r="5" spans="1:23" ht="26.25" x14ac:dyDescent="0.25">
      <c r="A5" s="271"/>
      <c r="B5" s="284"/>
      <c r="C5" s="103" t="s">
        <v>34</v>
      </c>
      <c r="D5" s="104">
        <v>21.69</v>
      </c>
      <c r="E5" s="240"/>
      <c r="F5" s="104">
        <v>2349</v>
      </c>
      <c r="G5" s="104">
        <v>0</v>
      </c>
      <c r="H5" s="104">
        <v>2202</v>
      </c>
      <c r="I5" s="105">
        <f t="shared" si="0"/>
        <v>4551</v>
      </c>
      <c r="J5" s="242"/>
      <c r="K5" s="106">
        <v>0.78</v>
      </c>
      <c r="L5" s="107">
        <v>9</v>
      </c>
      <c r="M5" s="107">
        <f>I5*K5/1000/(1-L5/100)</f>
        <v>3.9008571428571428</v>
      </c>
      <c r="N5" s="91">
        <f t="shared" si="1"/>
        <v>1.523709167544784</v>
      </c>
      <c r="O5" s="98">
        <v>2</v>
      </c>
      <c r="P5" s="98"/>
      <c r="Q5" s="108">
        <v>30</v>
      </c>
      <c r="R5" s="109"/>
      <c r="S5" s="110">
        <v>30</v>
      </c>
      <c r="T5" s="102"/>
      <c r="U5" s="244"/>
      <c r="V5" s="295"/>
    </row>
    <row r="6" spans="1:23" ht="27" thickBot="1" x14ac:dyDescent="0.3">
      <c r="A6" s="283"/>
      <c r="B6" s="111"/>
      <c r="C6" s="112"/>
      <c r="D6" s="113">
        <f>SUM(D4:D5)</f>
        <v>24.51</v>
      </c>
      <c r="E6" s="286"/>
      <c r="F6" s="114">
        <f>(F4*D4+F5*D5)/D6</f>
        <v>2596.1383108935129</v>
      </c>
      <c r="G6" s="114"/>
      <c r="H6" s="114">
        <f>(H4*D4+H5*D5)/D6</f>
        <v>2201.0795593635253</v>
      </c>
      <c r="I6" s="115">
        <f>F6+H6</f>
        <v>4797.2178702570382</v>
      </c>
      <c r="J6" s="288"/>
      <c r="K6" s="116">
        <v>0.76500000000000001</v>
      </c>
      <c r="L6" s="117">
        <v>9</v>
      </c>
      <c r="M6" s="117">
        <f>I6*K6/1000/(1-L6/100)</f>
        <v>4.0328260118094885</v>
      </c>
      <c r="N6" s="91">
        <f t="shared" si="1"/>
        <v>1.7218124341412013</v>
      </c>
      <c r="O6" s="98">
        <v>3</v>
      </c>
      <c r="P6" s="98">
        <f>(M4*O4+M5*O5)/O6</f>
        <v>4.1936666666666662</v>
      </c>
      <c r="Q6" s="108"/>
      <c r="R6" s="118">
        <f>(M4*Q4+M5*Q5)/45</f>
        <v>4.1936666666666671</v>
      </c>
      <c r="S6" s="110">
        <f>S4+S5</f>
        <v>50</v>
      </c>
      <c r="T6" s="119">
        <f>(S4*M4+S5*M5)/50</f>
        <v>4.2522285714285717</v>
      </c>
      <c r="U6" s="245"/>
      <c r="V6" s="296"/>
    </row>
    <row r="7" spans="1:23" ht="26.25" x14ac:dyDescent="0.25">
      <c r="A7" s="278" t="s">
        <v>19</v>
      </c>
      <c r="B7" s="259" t="s">
        <v>70</v>
      </c>
      <c r="C7" s="120" t="s">
        <v>71</v>
      </c>
      <c r="D7" s="121">
        <v>12.33</v>
      </c>
      <c r="E7" s="261">
        <v>19.25</v>
      </c>
      <c r="F7" s="121">
        <v>2700</v>
      </c>
      <c r="G7" s="121">
        <v>10</v>
      </c>
      <c r="H7" s="121">
        <v>2202</v>
      </c>
      <c r="I7" s="122">
        <f t="shared" ref="I7:I13" si="2">F7+H7</f>
        <v>4902</v>
      </c>
      <c r="J7" s="264">
        <v>5382</v>
      </c>
      <c r="K7" s="123">
        <v>0.7</v>
      </c>
      <c r="L7" s="124">
        <v>7.65</v>
      </c>
      <c r="M7" s="124">
        <f>I7*K7/1000/(1-L7/100)</f>
        <v>3.7156469951272331</v>
      </c>
      <c r="N7" s="91">
        <f t="shared" si="1"/>
        <v>0.86617492096944149</v>
      </c>
      <c r="O7" s="125">
        <v>1</v>
      </c>
      <c r="P7" s="125"/>
      <c r="Q7" s="126">
        <v>30</v>
      </c>
      <c r="R7" s="125"/>
      <c r="S7" s="127">
        <v>30</v>
      </c>
      <c r="T7" s="128"/>
      <c r="U7" s="266">
        <v>3.81</v>
      </c>
      <c r="V7" s="233"/>
    </row>
    <row r="8" spans="1:23" ht="26.25" x14ac:dyDescent="0.25">
      <c r="A8" s="279"/>
      <c r="B8" s="260"/>
      <c r="C8" s="129" t="s">
        <v>35</v>
      </c>
      <c r="D8" s="130">
        <v>13.59</v>
      </c>
      <c r="E8" s="262"/>
      <c r="F8" s="130">
        <v>3500</v>
      </c>
      <c r="G8" s="130">
        <v>10</v>
      </c>
      <c r="H8" s="127">
        <f>1990*1.05</f>
        <v>2089.5</v>
      </c>
      <c r="I8" s="131">
        <f t="shared" si="2"/>
        <v>5589.5</v>
      </c>
      <c r="J8" s="265"/>
      <c r="K8" s="132">
        <v>0.65400000000000003</v>
      </c>
      <c r="L8" s="133">
        <v>7.65</v>
      </c>
      <c r="M8" s="134">
        <f t="shared" ref="M8:M10" si="3">I8*K8/1000/(1-L8/100)</f>
        <v>3.9583465078505689</v>
      </c>
      <c r="N8" s="91">
        <f t="shared" si="1"/>
        <v>0.95468914646996839</v>
      </c>
      <c r="O8" s="125">
        <v>1</v>
      </c>
      <c r="P8" s="125"/>
      <c r="Q8" s="126">
        <v>15</v>
      </c>
      <c r="R8" s="125"/>
      <c r="S8" s="127">
        <v>15</v>
      </c>
      <c r="T8" s="128"/>
      <c r="U8" s="267"/>
      <c r="V8" s="234"/>
    </row>
    <row r="9" spans="1:23" ht="26.25" x14ac:dyDescent="0.25">
      <c r="A9" s="279"/>
      <c r="B9" s="260"/>
      <c r="C9" s="135" t="s">
        <v>31</v>
      </c>
      <c r="D9" s="130"/>
      <c r="E9" s="262"/>
      <c r="F9" s="130">
        <v>3100</v>
      </c>
      <c r="G9" s="130">
        <v>0</v>
      </c>
      <c r="H9" s="127">
        <f>1606*1.05</f>
        <v>1686.3000000000002</v>
      </c>
      <c r="I9" s="131">
        <f>H9+F9</f>
        <v>4786.3</v>
      </c>
      <c r="J9" s="265"/>
      <c r="K9" s="132">
        <v>0.65400000000000003</v>
      </c>
      <c r="L9" s="133">
        <v>7.65</v>
      </c>
      <c r="M9" s="136">
        <f t="shared" si="3"/>
        <v>3.3895400108283709</v>
      </c>
      <c r="N9" s="91">
        <f t="shared" si="1"/>
        <v>0</v>
      </c>
      <c r="O9" s="125"/>
      <c r="P9" s="125"/>
      <c r="Q9" s="126"/>
      <c r="R9" s="125"/>
      <c r="S9" s="127">
        <v>0</v>
      </c>
      <c r="T9" s="128"/>
      <c r="U9" s="267"/>
      <c r="V9" s="234"/>
    </row>
    <row r="10" spans="1:23" ht="26.25" x14ac:dyDescent="0.25">
      <c r="A10" s="279"/>
      <c r="B10" s="260"/>
      <c r="C10" s="129" t="s">
        <v>33</v>
      </c>
      <c r="D10" s="130"/>
      <c r="E10" s="262"/>
      <c r="F10" s="130">
        <v>4800</v>
      </c>
      <c r="G10" s="130">
        <v>0</v>
      </c>
      <c r="H10" s="130">
        <v>2194</v>
      </c>
      <c r="I10" s="137">
        <f t="shared" si="2"/>
        <v>6994</v>
      </c>
      <c r="J10" s="265"/>
      <c r="K10" s="132">
        <v>0.62</v>
      </c>
      <c r="L10" s="133">
        <v>7.65</v>
      </c>
      <c r="M10" s="134">
        <f t="shared" si="3"/>
        <v>4.6954845695722787</v>
      </c>
      <c r="N10" s="91">
        <f t="shared" si="1"/>
        <v>0</v>
      </c>
      <c r="O10" s="125">
        <v>0.5</v>
      </c>
      <c r="P10" s="125"/>
      <c r="Q10" s="126">
        <v>15</v>
      </c>
      <c r="R10" s="125"/>
      <c r="S10" s="127">
        <v>10</v>
      </c>
      <c r="T10" s="128"/>
      <c r="U10" s="267"/>
      <c r="V10" s="234"/>
    </row>
    <row r="11" spans="1:23" ht="27" thickBot="1" x14ac:dyDescent="0.3">
      <c r="A11" s="280"/>
      <c r="B11" s="281"/>
      <c r="C11" s="138"/>
      <c r="D11" s="139">
        <f>SUM(D7:D10)</f>
        <v>25.92</v>
      </c>
      <c r="E11" s="263"/>
      <c r="F11" s="140">
        <f>(D7*F7+D8*F8)/(D7+D8)</f>
        <v>3119.4444444444443</v>
      </c>
      <c r="G11" s="140"/>
      <c r="H11" s="140">
        <f>(D7*H7+D8*H8)/D11</f>
        <v>2143.0156249999995</v>
      </c>
      <c r="I11" s="141">
        <f t="shared" si="2"/>
        <v>5262.4600694444434</v>
      </c>
      <c r="J11" s="282"/>
      <c r="K11" s="142">
        <v>0.67500000000000004</v>
      </c>
      <c r="L11" s="143">
        <v>7.65</v>
      </c>
      <c r="M11" s="143">
        <f>I11*K11/1000/(1-L11/100)</f>
        <v>3.8464109874120189</v>
      </c>
      <c r="N11" s="91">
        <f t="shared" si="1"/>
        <v>1.8208640674394101</v>
      </c>
      <c r="O11" s="125">
        <v>2.5</v>
      </c>
      <c r="P11" s="125">
        <f>(O7*M7+O8*M8+O10*M10)/O11</f>
        <v>4.0086943151055765</v>
      </c>
      <c r="Q11" s="126">
        <f>SUM(Q7:Q10)+Q4+Q5</f>
        <v>105</v>
      </c>
      <c r="R11" s="144">
        <f>(M7*Q7+M8*Q8+M10*Q10)/60</f>
        <v>4.0212812669193285</v>
      </c>
      <c r="S11" s="127">
        <f>S4+S5+S8+S9+S7</f>
        <v>95</v>
      </c>
      <c r="T11" s="145">
        <f>(M7*S7+M8*S8+M9*S9+M10*S10)/55</f>
        <v>3.959990057587242</v>
      </c>
      <c r="U11" s="268"/>
      <c r="V11" s="269"/>
    </row>
    <row r="12" spans="1:23" ht="26.25" x14ac:dyDescent="0.25">
      <c r="A12" s="270" t="s">
        <v>20</v>
      </c>
      <c r="B12" s="272" t="s">
        <v>65</v>
      </c>
      <c r="C12" s="146" t="s">
        <v>31</v>
      </c>
      <c r="D12" s="147">
        <v>32.47</v>
      </c>
      <c r="E12" s="274">
        <v>33.76</v>
      </c>
      <c r="F12" s="147">
        <v>3100</v>
      </c>
      <c r="G12" s="147">
        <v>0</v>
      </c>
      <c r="H12" s="147">
        <v>1613</v>
      </c>
      <c r="I12" s="148">
        <f t="shared" si="2"/>
        <v>4713</v>
      </c>
      <c r="J12" s="276">
        <v>4701</v>
      </c>
      <c r="K12" s="149">
        <v>0.75900000000000001</v>
      </c>
      <c r="L12" s="97">
        <v>9</v>
      </c>
      <c r="M12" s="97">
        <f>I12*K12/1000/(1-L12/100)</f>
        <v>3.9309527472527468</v>
      </c>
      <c r="N12" s="91">
        <f t="shared" si="1"/>
        <v>2.280997541271514</v>
      </c>
      <c r="O12" s="150">
        <v>1.25</v>
      </c>
      <c r="P12" s="150"/>
      <c r="Q12" s="108">
        <v>60</v>
      </c>
      <c r="R12" s="109"/>
      <c r="S12" s="110">
        <v>50</v>
      </c>
      <c r="T12" s="102"/>
      <c r="U12" s="243">
        <v>3.86</v>
      </c>
      <c r="V12" s="233"/>
    </row>
    <row r="13" spans="1:23" ht="26.25" x14ac:dyDescent="0.25">
      <c r="A13" s="271"/>
      <c r="B13" s="273"/>
      <c r="C13" s="103" t="s">
        <v>34</v>
      </c>
      <c r="D13" s="151">
        <v>8.08</v>
      </c>
      <c r="E13" s="275"/>
      <c r="F13" s="151">
        <v>2349</v>
      </c>
      <c r="G13" s="151">
        <v>0</v>
      </c>
      <c r="H13" s="151">
        <v>1959</v>
      </c>
      <c r="I13" s="152">
        <f t="shared" si="2"/>
        <v>4308</v>
      </c>
      <c r="J13" s="277"/>
      <c r="K13" s="153">
        <v>0.75900000000000001</v>
      </c>
      <c r="L13" s="154">
        <v>9</v>
      </c>
      <c r="M13" s="154">
        <f t="shared" ref="M13:M15" si="4">I13*K13/1000/(1-L13/100)</f>
        <v>3.5931560439560442</v>
      </c>
      <c r="N13" s="91">
        <f t="shared" si="1"/>
        <v>0.56761503336845809</v>
      </c>
      <c r="O13" s="150">
        <v>0.5</v>
      </c>
      <c r="P13" s="150"/>
      <c r="Q13" s="108">
        <v>21</v>
      </c>
      <c r="R13" s="109"/>
      <c r="S13" s="110">
        <v>21</v>
      </c>
      <c r="T13" s="102"/>
      <c r="U13" s="244"/>
      <c r="V13" s="234"/>
    </row>
    <row r="14" spans="1:23" ht="26.25" x14ac:dyDescent="0.25">
      <c r="A14" s="271"/>
      <c r="B14" s="273"/>
      <c r="C14" s="103" t="s">
        <v>33</v>
      </c>
      <c r="D14" s="151"/>
      <c r="E14" s="275"/>
      <c r="F14" s="151">
        <v>4500</v>
      </c>
      <c r="G14" s="151">
        <v>0</v>
      </c>
      <c r="H14" s="155">
        <f>1891*1.05</f>
        <v>1985.5500000000002</v>
      </c>
      <c r="I14" s="152">
        <f>H14+F14</f>
        <v>6485.55</v>
      </c>
      <c r="J14" s="277"/>
      <c r="K14" s="153">
        <v>0.7</v>
      </c>
      <c r="L14" s="154">
        <v>9</v>
      </c>
      <c r="M14" s="154">
        <f t="shared" si="4"/>
        <v>4.9888846153846149</v>
      </c>
      <c r="N14" s="91">
        <f t="shared" si="1"/>
        <v>0</v>
      </c>
      <c r="O14" s="150">
        <v>0.25</v>
      </c>
      <c r="P14" s="150"/>
      <c r="Q14" s="108"/>
      <c r="R14" s="109"/>
      <c r="S14" s="110">
        <v>10</v>
      </c>
      <c r="T14" s="102"/>
      <c r="U14" s="244"/>
      <c r="V14" s="234"/>
    </row>
    <row r="15" spans="1:23" ht="27" thickBot="1" x14ac:dyDescent="0.3">
      <c r="A15" s="271"/>
      <c r="B15" s="273"/>
      <c r="C15" s="103"/>
      <c r="D15" s="101">
        <f>SUM(D12:D13)</f>
        <v>40.549999999999997</v>
      </c>
      <c r="E15" s="275"/>
      <c r="F15" s="155">
        <f>(F12*D12+F13*D13)/D15</f>
        <v>2950.3556103575834</v>
      </c>
      <c r="G15" s="155"/>
      <c r="H15" s="155">
        <f>(H12*D12+H13*D13)/D15</f>
        <v>1681.9440197287302</v>
      </c>
      <c r="I15" s="105">
        <f>F15+H15</f>
        <v>4632.2996300863133</v>
      </c>
      <c r="J15" s="277"/>
      <c r="K15" s="153">
        <v>0.75900000000000001</v>
      </c>
      <c r="L15" s="154">
        <v>9</v>
      </c>
      <c r="M15" s="154">
        <f t="shared" si="4"/>
        <v>3.8636433178412215</v>
      </c>
      <c r="N15" s="91">
        <f t="shared" si="1"/>
        <v>2.8486125746399718</v>
      </c>
      <c r="O15" s="150">
        <f>O12+O13+O14</f>
        <v>2</v>
      </c>
      <c r="P15" s="150">
        <f>(O12*M12+O13*M13+O14*M14)/O15</f>
        <v>3.9787450549450547</v>
      </c>
      <c r="Q15" s="108">
        <f>SUM(Q12:Q14)</f>
        <v>81</v>
      </c>
      <c r="R15" s="144">
        <f>(Q12*M12+Q13*M13)/Q15</f>
        <v>3.8433758241758245</v>
      </c>
      <c r="S15" s="110">
        <f>SUM(S12:S14)</f>
        <v>81</v>
      </c>
      <c r="T15" s="156">
        <f>(S12*M12+M13*S13+M14*S14)/S15</f>
        <v>3.9739846967846963</v>
      </c>
      <c r="U15" s="245"/>
      <c r="V15" s="234"/>
    </row>
    <row r="16" spans="1:23" ht="26.25" x14ac:dyDescent="0.4">
      <c r="A16" s="256" t="s">
        <v>21</v>
      </c>
      <c r="B16" s="259" t="s">
        <v>75</v>
      </c>
      <c r="C16" s="120" t="s">
        <v>71</v>
      </c>
      <c r="D16" s="121">
        <v>24.66</v>
      </c>
      <c r="E16" s="261">
        <v>13.73</v>
      </c>
      <c r="F16" s="121">
        <v>2650</v>
      </c>
      <c r="G16" s="121">
        <v>10</v>
      </c>
      <c r="H16" s="121">
        <v>2007</v>
      </c>
      <c r="I16" s="122">
        <f t="shared" ref="I16:I24" si="5">F16+H16</f>
        <v>4657</v>
      </c>
      <c r="J16" s="264">
        <v>4507</v>
      </c>
      <c r="K16" s="123">
        <v>0.67</v>
      </c>
      <c r="L16" s="124">
        <v>5.75</v>
      </c>
      <c r="M16" s="124">
        <f>I16*K16/1000/(1-L16/100)</f>
        <v>3.3105464190981433</v>
      </c>
      <c r="N16" s="91">
        <f t="shared" si="1"/>
        <v>1.732349841938883</v>
      </c>
      <c r="O16" s="125">
        <v>1.5</v>
      </c>
      <c r="P16" s="157"/>
      <c r="Q16" s="126">
        <v>53</v>
      </c>
      <c r="R16" s="130"/>
      <c r="S16" s="127">
        <v>33</v>
      </c>
      <c r="T16" s="128"/>
      <c r="U16" s="266">
        <v>3.31</v>
      </c>
      <c r="V16" s="233"/>
    </row>
    <row r="17" spans="1:22" ht="26.25" x14ac:dyDescent="0.4">
      <c r="A17" s="257"/>
      <c r="B17" s="260"/>
      <c r="C17" s="158" t="s">
        <v>33</v>
      </c>
      <c r="D17" s="159"/>
      <c r="E17" s="262"/>
      <c r="F17" s="159">
        <v>4861</v>
      </c>
      <c r="G17" s="159">
        <v>10</v>
      </c>
      <c r="H17" s="159">
        <v>1665</v>
      </c>
      <c r="I17" s="137">
        <f t="shared" si="5"/>
        <v>6526</v>
      </c>
      <c r="J17" s="265"/>
      <c r="K17" s="132">
        <v>0.625</v>
      </c>
      <c r="L17" s="133">
        <v>5.75</v>
      </c>
      <c r="M17" s="134">
        <f t="shared" ref="M17:M20" si="6">I17*K17/1000/(1-L17/100)</f>
        <v>4.3275862068965516</v>
      </c>
      <c r="N17" s="91">
        <f t="shared" si="1"/>
        <v>0</v>
      </c>
      <c r="O17" s="125">
        <v>0.5</v>
      </c>
      <c r="P17" s="157"/>
      <c r="Q17" s="126"/>
      <c r="R17" s="130"/>
      <c r="S17" s="127">
        <v>30</v>
      </c>
      <c r="T17" s="128"/>
      <c r="U17" s="267"/>
      <c r="V17" s="234"/>
    </row>
    <row r="18" spans="1:22" ht="26.25" x14ac:dyDescent="0.4">
      <c r="A18" s="257"/>
      <c r="B18" s="260"/>
      <c r="C18" s="160" t="s">
        <v>35</v>
      </c>
      <c r="D18" s="159"/>
      <c r="E18" s="262"/>
      <c r="F18" s="159">
        <v>3722</v>
      </c>
      <c r="G18" s="159">
        <v>10</v>
      </c>
      <c r="H18" s="161">
        <f>1484*1.05</f>
        <v>1558.2</v>
      </c>
      <c r="I18" s="131">
        <f t="shared" si="5"/>
        <v>5280.2</v>
      </c>
      <c r="J18" s="265"/>
      <c r="K18" s="132">
        <v>0.625</v>
      </c>
      <c r="L18" s="133">
        <v>5.75</v>
      </c>
      <c r="M18" s="133">
        <f t="shared" si="6"/>
        <v>3.5014588859416444</v>
      </c>
      <c r="N18" s="91">
        <f t="shared" si="1"/>
        <v>0</v>
      </c>
      <c r="O18" s="125"/>
      <c r="P18" s="157"/>
      <c r="Q18" s="126"/>
      <c r="R18" s="130"/>
      <c r="S18" s="127">
        <v>0</v>
      </c>
      <c r="T18" s="128"/>
      <c r="U18" s="267"/>
      <c r="V18" s="234"/>
    </row>
    <row r="19" spans="1:22" ht="26.25" x14ac:dyDescent="0.4">
      <c r="A19" s="257"/>
      <c r="B19" s="260"/>
      <c r="C19" s="162" t="s">
        <v>31</v>
      </c>
      <c r="D19" s="163"/>
      <c r="E19" s="262"/>
      <c r="F19" s="163">
        <v>3100</v>
      </c>
      <c r="G19" s="163">
        <v>0</v>
      </c>
      <c r="H19" s="163">
        <v>1129</v>
      </c>
      <c r="I19" s="131">
        <f t="shared" si="5"/>
        <v>4229</v>
      </c>
      <c r="J19" s="265"/>
      <c r="K19" s="132">
        <v>0.625</v>
      </c>
      <c r="L19" s="133">
        <v>5.75</v>
      </c>
      <c r="M19" s="133">
        <f t="shared" si="6"/>
        <v>2.8043766578249336</v>
      </c>
      <c r="N19" s="91">
        <f t="shared" si="1"/>
        <v>0</v>
      </c>
      <c r="O19" s="125"/>
      <c r="P19" s="157"/>
      <c r="Q19" s="126"/>
      <c r="R19" s="130"/>
      <c r="S19" s="127">
        <v>0</v>
      </c>
      <c r="T19" s="128"/>
      <c r="U19" s="267"/>
      <c r="V19" s="234"/>
    </row>
    <row r="20" spans="1:22" ht="27" thickBot="1" x14ac:dyDescent="0.3">
      <c r="A20" s="258"/>
      <c r="B20" s="260"/>
      <c r="C20" s="164"/>
      <c r="D20" s="165">
        <f>SUM(D16:D18)</f>
        <v>24.66</v>
      </c>
      <c r="E20" s="263"/>
      <c r="F20" s="166">
        <f>(D16*F16+D17*F17+D18*F18)/D20</f>
        <v>2650</v>
      </c>
      <c r="G20" s="166"/>
      <c r="H20" s="166">
        <f>(D16*H16+D17*H17+D18*H18)/D20</f>
        <v>2007</v>
      </c>
      <c r="I20" s="141">
        <f t="shared" si="5"/>
        <v>4657</v>
      </c>
      <c r="J20" s="265"/>
      <c r="K20" s="132">
        <v>0.625</v>
      </c>
      <c r="L20" s="133">
        <v>5.75</v>
      </c>
      <c r="M20" s="133">
        <f t="shared" si="6"/>
        <v>3.0881962864721486</v>
      </c>
      <c r="N20" s="91">
        <f t="shared" si="1"/>
        <v>1.732349841938883</v>
      </c>
      <c r="O20" s="125">
        <f>SUM(O16:O19)</f>
        <v>2</v>
      </c>
      <c r="P20" s="125">
        <f>(O16*M16+O17*M17)/2</f>
        <v>3.5648063660477454</v>
      </c>
      <c r="Q20" s="126">
        <f>SUM(Q16:Q19)</f>
        <v>53</v>
      </c>
      <c r="R20" s="144">
        <f>3.31</f>
        <v>3.31</v>
      </c>
      <c r="S20" s="127">
        <f>SUM(S16:S19)</f>
        <v>63</v>
      </c>
      <c r="T20" s="156">
        <f>(M16*S16+M17*S17+M18*S18+M19*S19)/S20</f>
        <v>3.7948510799545279</v>
      </c>
      <c r="U20" s="268"/>
      <c r="V20" s="234"/>
    </row>
    <row r="21" spans="1:22" ht="26.25" x14ac:dyDescent="0.4">
      <c r="A21" s="235" t="s">
        <v>22</v>
      </c>
      <c r="B21" s="237" t="s">
        <v>75</v>
      </c>
      <c r="C21" s="167" t="s">
        <v>34</v>
      </c>
      <c r="D21" s="168">
        <v>0</v>
      </c>
      <c r="E21" s="239">
        <v>14.42</v>
      </c>
      <c r="F21" s="104">
        <v>3000</v>
      </c>
      <c r="G21" s="104">
        <v>10</v>
      </c>
      <c r="H21" s="104">
        <v>2342</v>
      </c>
      <c r="I21" s="105">
        <f t="shared" si="5"/>
        <v>5342</v>
      </c>
      <c r="J21" s="241">
        <v>6376</v>
      </c>
      <c r="K21" s="106">
        <v>0.65</v>
      </c>
      <c r="L21" s="107">
        <v>5.75</v>
      </c>
      <c r="M21" s="107">
        <f>I21*K21/1000/(1-L21/100)</f>
        <v>3.6841379310344831</v>
      </c>
      <c r="N21" s="91">
        <v>0</v>
      </c>
      <c r="O21" s="150"/>
      <c r="P21" s="150">
        <v>0.5</v>
      </c>
      <c r="Q21" s="108"/>
      <c r="R21" s="109"/>
      <c r="S21" s="110">
        <v>20</v>
      </c>
      <c r="T21" s="102"/>
      <c r="U21" s="243">
        <v>4.09</v>
      </c>
      <c r="V21" s="246" t="s">
        <v>95</v>
      </c>
    </row>
    <row r="22" spans="1:22" ht="26.25" x14ac:dyDescent="0.25">
      <c r="A22" s="236"/>
      <c r="B22" s="238"/>
      <c r="C22" s="171" t="s">
        <v>33</v>
      </c>
      <c r="D22" s="104">
        <v>10.029999999999999</v>
      </c>
      <c r="E22" s="240"/>
      <c r="F22" s="104">
        <v>4861</v>
      </c>
      <c r="G22" s="104">
        <v>10</v>
      </c>
      <c r="H22" s="104">
        <v>2215</v>
      </c>
      <c r="I22" s="105">
        <f t="shared" si="5"/>
        <v>7076</v>
      </c>
      <c r="J22" s="242"/>
      <c r="K22" s="106">
        <v>0.625</v>
      </c>
      <c r="L22" s="107">
        <v>5.75</v>
      </c>
      <c r="M22" s="154">
        <f t="shared" ref="M22:M26" si="7">I22*K22/1000/(1-L22/100)</f>
        <v>4.6923076923076925</v>
      </c>
      <c r="N22" s="91">
        <f>D22/(365*3900)*100000</f>
        <v>0.70460133473832098</v>
      </c>
      <c r="O22" s="150"/>
      <c r="P22" s="150">
        <v>1</v>
      </c>
      <c r="Q22" s="108">
        <v>60</v>
      </c>
      <c r="R22" s="109"/>
      <c r="S22" s="110">
        <v>20</v>
      </c>
      <c r="T22" s="102"/>
      <c r="U22" s="244"/>
      <c r="V22" s="247"/>
    </row>
    <row r="23" spans="1:22" ht="26.25" x14ac:dyDescent="0.25">
      <c r="A23" s="236"/>
      <c r="B23" s="238"/>
      <c r="C23" s="103" t="s">
        <v>35</v>
      </c>
      <c r="D23" s="104">
        <v>27.17</v>
      </c>
      <c r="E23" s="240"/>
      <c r="F23" s="104">
        <v>3722</v>
      </c>
      <c r="G23" s="104">
        <v>10</v>
      </c>
      <c r="H23" s="104">
        <v>2305</v>
      </c>
      <c r="I23" s="105">
        <f t="shared" si="5"/>
        <v>6027</v>
      </c>
      <c r="J23" s="242"/>
      <c r="K23" s="106">
        <v>0.625</v>
      </c>
      <c r="L23" s="107">
        <v>5.75</v>
      </c>
      <c r="M23" s="107">
        <f t="shared" si="7"/>
        <v>3.9966843501326261</v>
      </c>
      <c r="N23" s="91">
        <f>D23/(365*3900)*100000</f>
        <v>1.9086757990867582</v>
      </c>
      <c r="O23" s="150"/>
      <c r="P23" s="150">
        <v>1</v>
      </c>
      <c r="Q23" s="108">
        <v>60</v>
      </c>
      <c r="R23" s="109"/>
      <c r="S23" s="110">
        <v>60</v>
      </c>
      <c r="T23" s="102"/>
      <c r="U23" s="244"/>
      <c r="V23" s="247"/>
    </row>
    <row r="24" spans="1:22" ht="26.25" x14ac:dyDescent="0.25">
      <c r="A24" s="236"/>
      <c r="B24" s="238"/>
      <c r="C24" s="167" t="s">
        <v>31</v>
      </c>
      <c r="D24" s="169"/>
      <c r="E24" s="240"/>
      <c r="F24" s="169">
        <v>3100</v>
      </c>
      <c r="G24" s="169">
        <v>0</v>
      </c>
      <c r="H24" s="169">
        <v>1708</v>
      </c>
      <c r="I24" s="105">
        <f t="shared" si="5"/>
        <v>4808</v>
      </c>
      <c r="J24" s="242"/>
      <c r="K24" s="106">
        <v>0.625</v>
      </c>
      <c r="L24" s="107">
        <v>5.75</v>
      </c>
      <c r="M24" s="107">
        <f t="shared" si="7"/>
        <v>3.1883289124668432</v>
      </c>
      <c r="N24" s="91">
        <f>D24/(365*3900)*100000</f>
        <v>0</v>
      </c>
      <c r="O24" s="150"/>
      <c r="P24" s="150">
        <v>1</v>
      </c>
      <c r="Q24" s="108"/>
      <c r="R24" s="109"/>
      <c r="S24" s="110">
        <v>10</v>
      </c>
      <c r="T24" s="102"/>
      <c r="U24" s="244"/>
      <c r="V24" s="247"/>
    </row>
    <row r="25" spans="1:22" ht="26.25" x14ac:dyDescent="0.25">
      <c r="A25" s="236"/>
      <c r="B25" s="238"/>
      <c r="C25" s="172" t="s">
        <v>36</v>
      </c>
      <c r="D25" s="104">
        <v>11.05</v>
      </c>
      <c r="E25" s="240"/>
      <c r="F25" s="169">
        <v>5000</v>
      </c>
      <c r="G25" s="169">
        <v>0</v>
      </c>
      <c r="H25" s="169">
        <v>2215</v>
      </c>
      <c r="I25" s="173">
        <f>F25+H25</f>
        <v>7215</v>
      </c>
      <c r="J25" s="242"/>
      <c r="K25" s="106">
        <v>0.625</v>
      </c>
      <c r="L25" s="107">
        <v>5.75</v>
      </c>
      <c r="M25" s="107">
        <f t="shared" si="7"/>
        <v>4.7844827586206904</v>
      </c>
      <c r="N25" s="91">
        <f>D25/(365*3900)*100000</f>
        <v>0.77625570776255715</v>
      </c>
      <c r="O25" s="150"/>
      <c r="P25" s="150"/>
      <c r="Q25" s="108"/>
      <c r="R25" s="109"/>
      <c r="S25" s="110"/>
      <c r="T25" s="102"/>
      <c r="U25" s="244"/>
      <c r="V25" s="247"/>
    </row>
    <row r="26" spans="1:22" ht="27" thickBot="1" x14ac:dyDescent="0.3">
      <c r="A26" s="236"/>
      <c r="B26" s="238"/>
      <c r="C26" s="167"/>
      <c r="D26" s="169">
        <f>SUM(D21:D25)</f>
        <v>48.25</v>
      </c>
      <c r="E26" s="240"/>
      <c r="F26" s="174">
        <f>(F21*D21+F22*D22+F23*D23+F24*D24+F25*D25)/D26</f>
        <v>4251.4522279792745</v>
      </c>
      <c r="G26" s="174"/>
      <c r="H26" s="174">
        <f>(D21*H21+D22*H22+D23*H23+D24*H24+D25*H25)/D26</f>
        <v>2265.6797927461139</v>
      </c>
      <c r="I26" s="173">
        <f>F26+H26</f>
        <v>6517.1320207253884</v>
      </c>
      <c r="J26" s="242"/>
      <c r="K26" s="175">
        <v>0.625</v>
      </c>
      <c r="L26" s="176">
        <v>5.75</v>
      </c>
      <c r="M26" s="176">
        <f t="shared" si="7"/>
        <v>4.3217055840354037</v>
      </c>
      <c r="N26" s="177">
        <f>D26/(365*3900)*100000</f>
        <v>3.389532841587636</v>
      </c>
      <c r="O26" s="178"/>
      <c r="P26" s="178">
        <f>SUM(P21:P25)</f>
        <v>3.5</v>
      </c>
      <c r="Q26" s="170">
        <f>SUM(Q21:Q25)</f>
        <v>120</v>
      </c>
      <c r="R26" s="179">
        <f>(Q22*M22+Q23*M23)/Q26</f>
        <v>4.3444960212201602</v>
      </c>
      <c r="S26" s="180">
        <f>SUM(S21:S25)</f>
        <v>110</v>
      </c>
      <c r="T26" s="181">
        <f>(S21*M21+S22*M22+S23*M23+S24*M24)/S26</f>
        <v>3.9928478418133588</v>
      </c>
      <c r="U26" s="245"/>
      <c r="V26" s="247"/>
    </row>
    <row r="27" spans="1:22" ht="26.25" x14ac:dyDescent="0.4">
      <c r="A27" s="250" t="s">
        <v>76</v>
      </c>
      <c r="B27" s="253" t="s">
        <v>57</v>
      </c>
      <c r="C27" s="182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4">
        <f>Q26+Q20+Q15+Q11</f>
        <v>359</v>
      </c>
      <c r="R27" s="185"/>
      <c r="S27" s="184">
        <f>S6+S11+S15+S20+S26</f>
        <v>399</v>
      </c>
      <c r="T27" s="186"/>
      <c r="U27" s="187"/>
      <c r="V27" s="248"/>
    </row>
    <row r="28" spans="1:22" ht="26.25" x14ac:dyDescent="0.4">
      <c r="A28" s="251"/>
      <c r="B28" s="254"/>
      <c r="C28" s="188" t="s">
        <v>31</v>
      </c>
      <c r="D28" s="189"/>
      <c r="E28" s="189"/>
      <c r="F28" s="189"/>
      <c r="G28" s="189"/>
      <c r="H28" s="189"/>
      <c r="I28" s="190"/>
      <c r="J28" s="190"/>
      <c r="K28" s="190"/>
      <c r="L28" s="190"/>
      <c r="M28" s="190"/>
      <c r="N28" s="191">
        <f>N12</f>
        <v>2.280997541271514</v>
      </c>
      <c r="O28" s="190"/>
      <c r="P28" s="190"/>
      <c r="Q28" s="192">
        <f>Q12+Q9+Q19+Q24</f>
        <v>60</v>
      </c>
      <c r="R28" s="193"/>
      <c r="S28" s="192">
        <f>S9+S12+S24+S19</f>
        <v>60</v>
      </c>
      <c r="T28" s="194"/>
      <c r="U28" s="187"/>
      <c r="V28" s="248"/>
    </row>
    <row r="29" spans="1:22" ht="26.25" x14ac:dyDescent="0.4">
      <c r="A29" s="251"/>
      <c r="B29" s="254"/>
      <c r="C29" s="188" t="s">
        <v>33</v>
      </c>
      <c r="D29" s="189"/>
      <c r="E29" s="189"/>
      <c r="F29" s="189"/>
      <c r="G29" s="189"/>
      <c r="H29" s="189"/>
      <c r="I29" s="190"/>
      <c r="J29" s="190"/>
      <c r="K29" s="190"/>
      <c r="L29" s="190"/>
      <c r="M29" s="190"/>
      <c r="N29" s="191">
        <f>N22+N4</f>
        <v>0.90270460133473818</v>
      </c>
      <c r="O29" s="190"/>
      <c r="P29" s="190"/>
      <c r="Q29" s="192">
        <f>Q22+Q17+Q14+Q10+Q4</f>
        <v>90</v>
      </c>
      <c r="R29" s="193"/>
      <c r="S29" s="192">
        <f>S4+S10+S14+S17+S22</f>
        <v>90</v>
      </c>
      <c r="T29" s="194"/>
      <c r="U29" s="187"/>
      <c r="V29" s="248"/>
    </row>
    <row r="30" spans="1:22" ht="26.25" x14ac:dyDescent="0.4">
      <c r="A30" s="251"/>
      <c r="B30" s="254"/>
      <c r="C30" s="188" t="s">
        <v>34</v>
      </c>
      <c r="D30" s="189"/>
      <c r="E30" s="189"/>
      <c r="F30" s="189"/>
      <c r="G30" s="189"/>
      <c r="H30" s="189"/>
      <c r="I30" s="190"/>
      <c r="J30" s="190"/>
      <c r="K30" s="190"/>
      <c r="L30" s="190"/>
      <c r="M30" s="190"/>
      <c r="N30" s="191" t="e">
        <f>#REF!+N7+N13+N16+0.1</f>
        <v>#REF!</v>
      </c>
      <c r="O30" s="190"/>
      <c r="P30" s="190"/>
      <c r="Q30" s="192">
        <f>Q5+Q7+Q13+Q16+Q2427</f>
        <v>134</v>
      </c>
      <c r="R30" s="193"/>
      <c r="S30" s="192">
        <f>S5+S13+S16+S21+S7</f>
        <v>134</v>
      </c>
      <c r="T30" s="194"/>
      <c r="U30" s="187"/>
      <c r="V30" s="248"/>
    </row>
    <row r="31" spans="1:22" ht="26.25" x14ac:dyDescent="0.4">
      <c r="A31" s="251"/>
      <c r="B31" s="254"/>
      <c r="C31" s="188" t="s">
        <v>35</v>
      </c>
      <c r="D31" s="189"/>
      <c r="E31" s="189"/>
      <c r="F31" s="189"/>
      <c r="G31" s="189"/>
      <c r="H31" s="189"/>
      <c r="I31" s="190"/>
      <c r="J31" s="190"/>
      <c r="K31" s="190"/>
      <c r="L31" s="190"/>
      <c r="M31" s="190"/>
      <c r="N31" s="191">
        <f>N23+N8</f>
        <v>2.8633649455567265</v>
      </c>
      <c r="O31" s="190"/>
      <c r="P31" s="190"/>
      <c r="Q31" s="192">
        <f>Q18+Q23+Q8</f>
        <v>75</v>
      </c>
      <c r="R31" s="193"/>
      <c r="S31" s="192">
        <f>S8+S18+S23</f>
        <v>75</v>
      </c>
      <c r="T31" s="194"/>
      <c r="U31" s="187"/>
      <c r="V31" s="248"/>
    </row>
    <row r="32" spans="1:22" ht="26.25" x14ac:dyDescent="0.4">
      <c r="A32" s="251"/>
      <c r="B32" s="254"/>
      <c r="C32" s="188" t="s">
        <v>36</v>
      </c>
      <c r="D32" s="189"/>
      <c r="E32" s="189"/>
      <c r="F32" s="189"/>
      <c r="G32" s="189"/>
      <c r="H32" s="189"/>
      <c r="I32" s="190"/>
      <c r="J32" s="190"/>
      <c r="K32" s="190"/>
      <c r="L32" s="190"/>
      <c r="M32" s="190"/>
      <c r="N32" s="191">
        <f>N25</f>
        <v>0.77625570776255715</v>
      </c>
      <c r="O32" s="190"/>
      <c r="P32" s="190"/>
      <c r="Q32" s="192">
        <f>Q25</f>
        <v>0</v>
      </c>
      <c r="R32" s="193"/>
      <c r="S32" s="192">
        <f>S25</f>
        <v>0</v>
      </c>
      <c r="T32" s="194"/>
      <c r="U32" s="187"/>
      <c r="V32" s="248"/>
    </row>
    <row r="33" spans="1:22" ht="27" thickBot="1" x14ac:dyDescent="0.45">
      <c r="A33" s="252"/>
      <c r="B33" s="255"/>
      <c r="C33" s="195" t="s">
        <v>77</v>
      </c>
      <c r="D33" s="196"/>
      <c r="E33" s="196"/>
      <c r="F33" s="196"/>
      <c r="G33" s="196"/>
      <c r="H33" s="196"/>
      <c r="I33" s="197"/>
      <c r="J33" s="197"/>
      <c r="K33" s="197"/>
      <c r="L33" s="197"/>
      <c r="M33" s="197"/>
      <c r="N33" s="198">
        <f>N26+N20+N15+N11+N6</f>
        <v>11.513171759747102</v>
      </c>
      <c r="O33" s="197"/>
      <c r="P33" s="197"/>
      <c r="Q33" s="198">
        <f>SUM(Q28:Q32)</f>
        <v>359</v>
      </c>
      <c r="R33" s="199"/>
      <c r="S33" s="198">
        <f>SUM(S28:S32)</f>
        <v>359</v>
      </c>
      <c r="T33" s="200"/>
      <c r="U33" s="201"/>
      <c r="V33" s="249"/>
    </row>
    <row r="35" spans="1:22" x14ac:dyDescent="0.25">
      <c r="N35" s="203"/>
    </row>
  </sheetData>
  <mergeCells count="34">
    <mergeCell ref="A1:V1"/>
    <mergeCell ref="A2:V2"/>
    <mergeCell ref="V4:V6"/>
    <mergeCell ref="A4:A6"/>
    <mergeCell ref="B4:B5"/>
    <mergeCell ref="E4:E6"/>
    <mergeCell ref="J4:J6"/>
    <mergeCell ref="U4:U6"/>
    <mergeCell ref="V7:V11"/>
    <mergeCell ref="A12:A15"/>
    <mergeCell ref="B12:B15"/>
    <mergeCell ref="E12:E15"/>
    <mergeCell ref="J12:J15"/>
    <mergeCell ref="U12:U15"/>
    <mergeCell ref="V12:V15"/>
    <mergeCell ref="A7:A11"/>
    <mergeCell ref="B7:B11"/>
    <mergeCell ref="E7:E11"/>
    <mergeCell ref="J7:J11"/>
    <mergeCell ref="U7:U11"/>
    <mergeCell ref="V16:V20"/>
    <mergeCell ref="A21:A26"/>
    <mergeCell ref="B21:B26"/>
    <mergeCell ref="E21:E26"/>
    <mergeCell ref="J21:J26"/>
    <mergeCell ref="U21:U26"/>
    <mergeCell ref="V21:V33"/>
    <mergeCell ref="A27:A33"/>
    <mergeCell ref="B27:B33"/>
    <mergeCell ref="A16:A20"/>
    <mergeCell ref="B16:B20"/>
    <mergeCell ref="E16:E20"/>
    <mergeCell ref="J16:J20"/>
    <mergeCell ref="U16:U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July 2026 (3)</vt:lpstr>
      <vt:lpstr>Calculation Sheet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DHARMVEER SINGH</dc:creator>
  <dc:description/>
  <cp:lastModifiedBy>SE Fuel LUCKNOW</cp:lastModifiedBy>
  <cp:revision>2</cp:revision>
  <dcterms:created xsi:type="dcterms:W3CDTF">2026-07-18T12:02:45Z</dcterms:created>
  <dcterms:modified xsi:type="dcterms:W3CDTF">2026-07-20T07:14:38Z</dcterms:modified>
  <dc:language>en-US</dc:language>
</cp:coreProperties>
</file>